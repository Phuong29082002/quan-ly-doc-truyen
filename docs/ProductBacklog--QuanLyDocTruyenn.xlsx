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roject Information" sheetId="1" state="visible" r:id="rId3"/>
    <sheet name="Team" sheetId="2" state="visible" r:id="rId4"/>
    <sheet name="Product backlog" sheetId="3" state="visible" r:id="rId5"/>
    <sheet name="Sprint backlo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<sst xmlns="http://schemas.openxmlformats.org/spreadsheetml/2006/main" count="801" uniqueCount="413">
  <si>
    <t xml:space="preserve">HỆ THỐNG QUẢN LÝ ĐỌC TRUYỆN - PROJECT INFORMATION</t>
  </si>
  <si>
    <t xml:space="preserve">1. Tên đề tài</t>
  </si>
  <si>
    <t xml:space="preserve">Xây dựng hệ thống quản lý đọc truyện (Case study 03) - Đồ án Công nghệ Phần mềm Nâng cao, HUFLIT - Nhóm 3</t>
  </si>
  <si>
    <t xml:space="preserve">2. Mục tiêu dự án</t>
  </si>
  <si>
    <t xml:space="preserve">Xây dựng hệ thống cho phép người dùng tìm kiếm, đọc truyện trực tuyến và quản lý quá trình đọc trên Web và Mobile. Hệ thống hỗ trợ truyện miễn phí, gói đọc theo tháng và mua quyền đọc từng bộ truyện; cung cấp công cụ cho Admin quản lý nội dung, thành viên, thanh toán và thống kê.</t>
  </si>
  <si>
    <t xml:space="preserve">3. Đối tượng sử dụng</t>
  </si>
  <si>
    <t xml:space="preserve">- Khách truy cập: xem thông tin truyện, tìm kiếm và đọc các chương miễn phí.</t>
  </si>
  <si>
    <t xml:space="preserve">- Thành viên: đăng ký gói, mua truyện, lưu tiến độ đọc, theo dõi truyện, nhận thông báo và tham gia thảo luận.</t>
  </si>
  <si>
    <t xml:space="preserve">- Quản trị viên (Admin): quản lý truyện, chương, chính sách truy cập, gói đọc, giao dịch, thành viên, thảo luận và thống kê.</t>
  </si>
  <si>
    <t xml:space="preserve">4. Yêu cầu chức năng</t>
  </si>
  <si>
    <t xml:space="preserve">Mã</t>
  </si>
  <si>
    <t xml:space="preserve">Nhóm chức năng</t>
  </si>
  <si>
    <t xml:space="preserve">Nội dung yêu cầu</t>
  </si>
  <si>
    <t xml:space="preserve">FR01</t>
  </si>
  <si>
    <t xml:space="preserve">Quản lý truyện</t>
  </si>
  <si>
    <t xml:space="preserve">Admin tạo và cập nhật tên truyện, ảnh bìa, giới thiệu, tác giả, thể loại và tình trạng phát hành. Một truyện có thể thuộc nhiều thể loại.</t>
  </si>
  <si>
    <t xml:space="preserve">FR02</t>
  </si>
  <si>
    <t xml:space="preserve">Quản lý chương</t>
  </si>
  <si>
    <t xml:space="preserve">Admin tạo hoặc tải lên chương, xác định thứ tự, tên, nội dung và thời điểm phát hành; chỉnh sửa khi cần.</t>
  </si>
  <si>
    <t xml:space="preserve">FR03</t>
  </si>
  <si>
    <t xml:space="preserve">Chính sách truy cập</t>
  </si>
  <si>
    <t xml:space="preserve">Admin thiết lập truyện miễn phí, trả phí hoặc kết hợp; chọn chương đọc miễn phí và mức phí mua truyện.</t>
  </si>
  <si>
    <t xml:space="preserve">FR04</t>
  </si>
  <si>
    <t xml:space="preserve">Tra cứu truyện</t>
  </si>
  <si>
    <t xml:space="preserve">Tìm kiếm theo tên, tác giả, thể loại; duyệt truyện mới cập nhật, mới phát hành, được đọc nhiều.</t>
  </si>
  <si>
    <t xml:space="preserve">FR05</t>
  </si>
  <si>
    <t xml:space="preserve">Xem và đọc truyện</t>
  </si>
  <si>
    <t xml:space="preserve">Xem trang thông tin truyện, danh sách chương kèm trạng thái truy cập và đọc các chương được phép.</t>
  </si>
  <si>
    <t xml:space="preserve">FR06</t>
  </si>
  <si>
    <t xml:space="preserve">Quản lý gói đọc</t>
  </si>
  <si>
    <t xml:space="preserve">Admin tạo, cập nhật mức phí, thời hạn, phạm vi nội dung hoặc ngừng cung cấp gói đọc.</t>
  </si>
  <si>
    <t xml:space="preserve">FR07</t>
  </si>
  <si>
    <t xml:space="preserve">Đăng ký và gia hạn gói</t>
  </si>
  <si>
    <t xml:space="preserve">Thành viên thanh toán để đăng ký hoặc gia hạn gói đọc theo tháng.</t>
  </si>
  <si>
    <t xml:space="preserve">FR08</t>
  </si>
  <si>
    <t xml:space="preserve">Mua truyện</t>
  </si>
  <si>
    <t xml:space="preserve">Thành viên thanh toán để nhận quyền đọc riêng từng bộ truyện trả phí.</t>
  </si>
  <si>
    <t xml:space="preserve">FR09</t>
  </si>
  <si>
    <t xml:space="preserve">Kiểm tra quyền đọc</t>
  </si>
  <si>
    <t xml:space="preserve">Kiểm tra truyện/chương miễn phí, gói còn hiệu lực và quyền đã mua trước khi cho đọc chương trả phí.</t>
  </si>
  <si>
    <t xml:space="preserve">FR10</t>
  </si>
  <si>
    <t xml:space="preserve">Quản lý giao dịch</t>
  </si>
  <si>
    <t xml:space="preserve">Ghi nhận mọi giao dịch; thành viên xem lịch sử thanh toán, truyện đã mua, gói đang dùng; xử lý giao dịch lỗi.</t>
  </si>
  <si>
    <t xml:space="preserve">FR11</t>
  </si>
  <si>
    <t xml:space="preserve">Tiến độ đọc</t>
  </si>
  <si>
    <t xml:space="preserve">Lưu chương/vị trí đọc gần nhất, tiếp tục đọc và xem danh sách truyện đang đọc.</t>
  </si>
  <si>
    <t xml:space="preserve">FR12</t>
  </si>
  <si>
    <t xml:space="preserve">Theo dõi và thông báo</t>
  </si>
  <si>
    <t xml:space="preserve">Thành viên theo dõi truyện, nhận thông báo khi có chương mới.</t>
  </si>
  <si>
    <t xml:space="preserve">FR13</t>
  </si>
  <si>
    <t xml:space="preserve">Thảo luận theo chương</t>
  </si>
  <si>
    <t xml:space="preserve">Thành viên đăng và tham gia thảo luận gắn với từng chương.</t>
  </si>
  <si>
    <t xml:space="preserve">FR14</t>
  </si>
  <si>
    <t xml:space="preserve">Kiểm duyệt thảo luận</t>
  </si>
  <si>
    <t xml:space="preserve">Admin xử lý nội dung không phù hợp, spam, nội dung bị báo cáo.</t>
  </si>
  <si>
    <t xml:space="preserve">FR15</t>
  </si>
  <si>
    <t xml:space="preserve">Quản lý thành viên</t>
  </si>
  <si>
    <t xml:space="preserve">Admin xem danh sách, tình trạng tài khoản; hạn chế hoặc tạm ngừng tài khoản vi phạm.</t>
  </si>
  <si>
    <t xml:space="preserve">FR16</t>
  </si>
  <si>
    <t xml:space="preserve">Thống kê hoạt động</t>
  </si>
  <si>
    <t xml:space="preserve">Thống kê thành viên, gói đang dùng, đăng ký mới, gia hạn, lượt mua truyện, trạng thái giao dịch.</t>
  </si>
  <si>
    <t xml:space="preserve">FR17</t>
  </si>
  <si>
    <t xml:space="preserve">Thống kê doanh thu</t>
  </si>
  <si>
    <t xml:space="preserve">Doanh thu theo gói, theo truyện và theo ngày/tháng/khoảng thời gian.</t>
  </si>
  <si>
    <t xml:space="preserve">FR18</t>
  </si>
  <si>
    <t xml:space="preserve">Thống kê nội dung</t>
  </si>
  <si>
    <t xml:space="preserve">Ghi nhận lượt đọc truyện/chương; tổng hợp truyện đọc nhiều, theo dõi nhiều, mua nhiều, thể loại quan tâm.</t>
  </si>
  <si>
    <t xml:space="preserve">5. Quy tắc nghiệp vụ</t>
  </si>
  <si>
    <t xml:space="preserve">- Truyện miễn phí cho đọc toàn bộ chương mà không cần mua truyện hoặc đăng ký gói.</t>
  </si>
  <si>
    <t xml:space="preserve">- Chương trả phí chỉ đọc được khi có gói còn hiệu lực bao gồm truyện đó, hoặc đã mua riêng truyện.</t>
  </si>
  <si>
    <t xml:space="preserve">- Gói hết hạn không làm mất quyền đọc của truyện đã mua riêng.</t>
  </si>
  <si>
    <t xml:space="preserve">- Không yêu cầu thanh toán lại cho nội dung thành viên đang có quyền đọc hợp lệ.</t>
  </si>
  <si>
    <t xml:space="preserve">- Chỉ kích hoạt quyền đọc khi thanh toán thành công; giao dịch thất bại không cấp quyền.</t>
  </si>
  <si>
    <t xml:space="preserve">- Giá được chốt tại thời điểm giao dịch.</t>
  </si>
  <si>
    <t xml:space="preserve">- Giao dịch thành công nhưng chưa cập nhật quyền đọc phải có cơ chế kiểm tra và xử lý.</t>
  </si>
  <si>
    <t xml:space="preserve">- Thảo luận phải gắn đúng với chương tương ứng.</t>
  </si>
  <si>
    <t xml:space="preserve">6. Yêu cầu kỹ thuật</t>
  </si>
  <si>
    <t xml:space="preserve">- Kiến trúc client–server; backend cung cấp RESTful API dùng chung cho Web và Mobile.</t>
  </si>
  <si>
    <t xml:space="preserve">- Dữ liệu và nghiệp vụ xử lý tập trung tại backend.</t>
  </si>
  <si>
    <t xml:space="preserve">- Web Application phục vụ tất cả nhóm người dùng; Mobile Application phục vụ người đọc / thành viên.</t>
  </si>
  <si>
    <t xml:space="preserve">7. Công nghệ sử dụng</t>
  </si>
  <si>
    <t xml:space="preserve">Backend</t>
  </si>
  <si>
    <t xml:space="preserve">ASP.NET Core Web API (.NET 10), Entity Framework Core, JWT</t>
  </si>
  <si>
    <t xml:space="preserve">Web frontend</t>
  </si>
  <si>
    <t xml:space="preserve">React + TypeScript + Vite + Tailwind CSS</t>
  </si>
  <si>
    <t xml:space="preserve">Mobile app</t>
  </si>
  <si>
    <t xml:space="preserve">Android (Kotlin, Jetpack Compose, Retrofit, Room)</t>
  </si>
  <si>
    <t xml:space="preserve">CSDL</t>
  </si>
  <si>
    <t xml:space="preserve">SQL Server 2022</t>
  </si>
  <si>
    <t xml:space="preserve">Quản lý mã nguồn</t>
  </si>
  <si>
    <t xml:space="preserve">GitHub: https://github.com/Phuong29082002/quan-ly-doc-truyen</t>
  </si>
  <si>
    <t xml:space="preserve">TEAM DEVELOPMENT STRUCTURE - NHÓM 3</t>
  </si>
  <si>
    <t xml:space="preserve">No.</t>
  </si>
  <si>
    <t xml:space="preserve">Name</t>
  </si>
  <si>
    <t xml:space="preserve">Account</t>
  </si>
  <si>
    <t xml:space="preserve">Roles</t>
  </si>
  <si>
    <t xml:space="preserve">DateStart</t>
  </si>
  <si>
    <t xml:space="preserve">Date End</t>
  </si>
  <si>
    <t xml:space="preserve">Nguyễn Anh Chiến (24DH113647)</t>
  </si>
  <si>
    <t xml:space="preserve">Nguyễn Trần Duy (24DH112534)</t>
  </si>
  <si>
    <t xml:space="preserve">Đặng Văn Huy (24DH112614)</t>
  </si>
  <si>
    <t xml:space="preserve">Phạm Gia Huy (24DH112625)</t>
  </si>
  <si>
    <t xml:space="preserve">Huy-maker47</t>
  </si>
  <si>
    <t xml:space="preserve">Developer (Sprint 2: PB16, PB17, PB18, PB22 - API, Web, Mobile)</t>
  </si>
  <si>
    <t xml:space="preserve">Hồ Quang Long (22DH111985)</t>
  </si>
  <si>
    <t xml:space="preserve">Nguyễn Lê Phương (23DH112829)</t>
  </si>
  <si>
    <t xml:space="preserve">Phuong29082002</t>
  </si>
  <si>
    <t xml:space="preserve">Product Owner, Scrum Master, Developer (Backend, Web, Mobile)</t>
  </si>
  <si>
    <t xml:space="preserve">HỆ THỐNG QUẢN LÝ ĐỌC TRUYỆN - PRODUCT BACKLOG</t>
  </si>
  <si>
    <t xml:space="preserve">Story ID</t>
  </si>
  <si>
    <t xml:space="preserve">Story Name</t>
  </si>
  <si>
    <t xml:space="preserve">Points</t>
  </si>
  <si>
    <t xml:space="preserve">Priority</t>
  </si>
  <si>
    <t xml:space="preserve">Yêu cầu (FR)</t>
  </si>
  <si>
    <t xml:space="preserve">Nền tảng</t>
  </si>
  <si>
    <t xml:space="preserve">Sprint</t>
  </si>
  <si>
    <t xml:space="preserve">Tiêu chí chấp nhận</t>
  </si>
  <si>
    <t xml:space="preserve">1. Tài khoản và phân quyền</t>
  </si>
  <si>
    <t xml:space="preserve">PB01</t>
  </si>
  <si>
    <t xml:space="preserve">Đăng ký tài khoản thành viên</t>
  </si>
  <si>
    <t xml:space="preserve">Must</t>
  </si>
  <si>
    <t xml:space="preserve">—</t>
  </si>
  <si>
    <t xml:space="preserve">API, Web, Mobile</t>
  </si>
  <si>
    <t xml:space="preserve">Sprint 1</t>
  </si>
  <si>
    <t xml:space="preserve">Kiểm tra thông tin bắt buộc, email/tên đăng nhập trùng, mã hóa mật khẩu</t>
  </si>
  <si>
    <t xml:space="preserve">PB02</t>
  </si>
  <si>
    <t xml:space="preserve">Đăng nhập và đăng xuất (JWT)</t>
  </si>
  <si>
    <t xml:space="preserve">Trả token, lưu token trên Web/Mobile, đăng xuất xóa phiên</t>
  </si>
  <si>
    <t xml:space="preserve">PB03</t>
  </si>
  <si>
    <t xml:space="preserve">Phân quyền Khách / Thành viên / Admin</t>
  </si>
  <si>
    <t xml:space="preserve">API, Web</t>
  </si>
  <si>
    <t xml:space="preserve">API chặn chức năng Admin; Web ẩn/hiện menu theo vai trò</t>
  </si>
  <si>
    <t xml:space="preserve">PB04</t>
  </si>
  <si>
    <t xml:space="preserve">Xem, cập nhật hồ sơ và đổi mật khẩu</t>
  </si>
  <si>
    <t xml:space="preserve">Should</t>
  </si>
  <si>
    <t xml:space="preserve">Sprint 2</t>
  </si>
  <si>
    <t xml:space="preserve">Sửa tên hiển thị, ảnh đại diện; đổi mật khẩu cần mật khẩu cũ</t>
  </si>
  <si>
    <t xml:space="preserve">2. Quản lý truyện và chương (Admin)</t>
  </si>
  <si>
    <t xml:space="preserve">PB05</t>
  </si>
  <si>
    <t xml:space="preserve">Quản lý thể loại</t>
  </si>
  <si>
    <t xml:space="preserve">Thêm, sửa, xóa thể loại; không xóa thể loại đang được dùng</t>
  </si>
  <si>
    <t xml:space="preserve">PB06</t>
  </si>
  <si>
    <t xml:space="preserve">Tạo và cập nhật truyện (ảnh bìa, giới thiệu, tác giả, nhiều thể loại)</t>
  </si>
  <si>
    <t xml:space="preserve">Một truyện gán được nhiều thể loại; upload ảnh bìa</t>
  </si>
  <si>
    <t xml:space="preserve">PB07</t>
  </si>
  <si>
    <t xml:space="preserve">Cập nhật tình trạng phát hành (đang ra / hoàn thành)</t>
  </si>
  <si>
    <t xml:space="preserve">Người đọc thấy nhãn tình trạng ở trang truyện</t>
  </si>
  <si>
    <t xml:space="preserve">PB08</t>
  </si>
  <si>
    <t xml:space="preserve">Tạo hoặc tải lên chương (số thứ tự, tên, nội dung)</t>
  </si>
  <si>
    <t xml:space="preserve">Số thứ tự chương không trùng trong một truyện</t>
  </si>
  <si>
    <t xml:space="preserve">PB09</t>
  </si>
  <si>
    <t xml:space="preserve">Chỉnh sửa và xóa chương</t>
  </si>
  <si>
    <t xml:space="preserve">Sửa đúng chương của đúng truyện</t>
  </si>
  <si>
    <t xml:space="preserve">PB10</t>
  </si>
  <si>
    <t xml:space="preserve">Hẹn giờ phát hành chương</t>
  </si>
  <si>
    <t xml:space="preserve">Chương chưa tới giờ không hiện với người đọc</t>
  </si>
  <si>
    <t xml:space="preserve">3. Tra cứu và đọc truyện</t>
  </si>
  <si>
    <t xml:space="preserve">PB11</t>
  </si>
  <si>
    <t xml:space="preserve">Tìm kiếm truyện theo tên, tác giả, thể loại</t>
  </si>
  <si>
    <t xml:space="preserve">Có phân trang; lọc theo thể loại</t>
  </si>
  <si>
    <t xml:space="preserve">PB12</t>
  </si>
  <si>
    <t xml:space="preserve">Duyệt danh sách mới cập nhật, mới phát hành, đọc nhiều</t>
  </si>
  <si>
    <t xml:space="preserve">Trang chủ hiển thị 3 danh sách</t>
  </si>
  <si>
    <t xml:space="preserve">PB13</t>
  </si>
  <si>
    <t xml:space="preserve">Xem chi tiết truyện và danh sách chương kèm trạng thái truy cập</t>
  </si>
  <si>
    <t xml:space="preserve">Mỗi chương có nhãn Miễn phí / Trả phí / Đã mở khóa</t>
  </si>
  <si>
    <t xml:space="preserve">PB14</t>
  </si>
  <si>
    <t xml:space="preserve">Đọc chương (chuyển chương trước/sau, cỡ chữ, chế độ tối)</t>
  </si>
  <si>
    <t xml:space="preserve">Đọc được chương miễn phí khi chưa đăng nhập</t>
  </si>
  <si>
    <t xml:space="preserve">PB15</t>
  </si>
  <si>
    <t xml:space="preserve">Ghi nhận lượt đọc theo truyện và chương</t>
  </si>
  <si>
    <t xml:space="preserve">API</t>
  </si>
  <si>
    <t xml:space="preserve">Mỗi lần mở chương tăng lượt đọc; có mốc thời gian để thống kê</t>
  </si>
  <si>
    <t xml:space="preserve">4. Chính sách truy cập và gói đọc (Admin)</t>
  </si>
  <si>
    <t xml:space="preserve">PB16</t>
  </si>
  <si>
    <t xml:space="preserve">Thiết lập truyện miễn phí / trả phí / kết hợp và chọn chương miễn phí</t>
  </si>
  <si>
    <t xml:space="preserve">Truyện kết hợp: chọn N chương đầu miễn phí hoặc đánh dấu từng chương</t>
  </si>
  <si>
    <t xml:space="preserve">PB17</t>
  </si>
  <si>
    <t xml:space="preserve">Thiết lập và điều chỉnh giá mua từng truyện</t>
  </si>
  <si>
    <t xml:space="preserve">Giá lưu vào giao dịch tại thời điểm mua</t>
  </si>
  <si>
    <t xml:space="preserve">PB18</t>
  </si>
  <si>
    <t xml:space="preserve">Quản lý gói đọc tháng (tên, mức phí, thời hạn, phạm vi, ngừng cung cấp)</t>
  </si>
  <si>
    <t xml:space="preserve">Gói ngừng cung cấp không bán mới nhưng người đang dùng vẫn còn hạn</t>
  </si>
  <si>
    <t xml:space="preserve">5. Thanh toán và quyền đọc</t>
  </si>
  <si>
    <t xml:space="preserve">PB19</t>
  </si>
  <si>
    <t xml:space="preserve">Đăng ký gói đọc tháng và thanh toán (cổng thanh toán giả lập)</t>
  </si>
  <si>
    <t xml:space="preserve">Sprint 3</t>
  </si>
  <si>
    <t xml:space="preserve">Chỉ kích hoạt gói khi giao dịch thành công</t>
  </si>
  <si>
    <t xml:space="preserve">PB20</t>
  </si>
  <si>
    <t xml:space="preserve">Gia hạn gói đọc</t>
  </si>
  <si>
    <t xml:space="preserve">Gia hạn khi còn hạn thì cộng dồn thời gian</t>
  </si>
  <si>
    <t xml:space="preserve">PB21</t>
  </si>
  <si>
    <t xml:space="preserve">Mua quyền đọc riêng từng bộ truyện</t>
  </si>
  <si>
    <t xml:space="preserve">Quyền đã mua không mất khi gói hết hạn</t>
  </si>
  <si>
    <t xml:space="preserve">PB22</t>
  </si>
  <si>
    <t xml:space="preserve">Kiểm tra quyền đọc chương trả phí (miễn phí / gói còn hạn / đã mua)</t>
  </si>
  <si>
    <t xml:space="preserve">Không yêu cầu thanh toán lại nội dung đã có quyền</t>
  </si>
  <si>
    <t xml:space="preserve">PB23</t>
  </si>
  <si>
    <t xml:space="preserve">Xử lý giao dịch thất bại, không cấp quyền đọc</t>
  </si>
  <si>
    <t xml:space="preserve">Giao dịch thất bại lưu trạng thái Failed</t>
  </si>
  <si>
    <t xml:space="preserve">PB24</t>
  </si>
  <si>
    <t xml:space="preserve">Đối soát giao dịch thành công nhưng chưa cập nhật quyền đọc</t>
  </si>
  <si>
    <t xml:space="preserve">Admin xem danh sách lệch và bấm cấp lại quyền</t>
  </si>
  <si>
    <t xml:space="preserve">PB25</t>
  </si>
  <si>
    <t xml:space="preserve">Xem lịch sử thanh toán, truyện đã mua, gói đang dùng và hạn gói</t>
  </si>
  <si>
    <t xml:space="preserve">Hiển thị ngày bắt đầu và ngày hết hạn gói</t>
  </si>
  <si>
    <t xml:space="preserve">6. Tiến độ đọc, theo dõi và thông báo</t>
  </si>
  <si>
    <t xml:space="preserve">PB26</t>
  </si>
  <si>
    <t xml:space="preserve">Lưu và tiếp tục tiến độ đọc (đồng bộ giữa Web và Mobile)</t>
  </si>
  <si>
    <t xml:space="preserve">Đọc dở trên app thì mở web tiếp tục đúng chương</t>
  </si>
  <si>
    <t xml:space="preserve">PB27</t>
  </si>
  <si>
    <t xml:space="preserve">Xem danh sách truyện đang đọc</t>
  </si>
  <si>
    <t xml:space="preserve">Sắp xếp theo lần đọc gần nhất</t>
  </si>
  <si>
    <t xml:space="preserve">PB28</t>
  </si>
  <si>
    <t xml:space="preserve">Theo dõi / bỏ theo dõi truyện và xem danh sách truyện quan tâm</t>
  </si>
  <si>
    <t xml:space="preserve">Sprint 4</t>
  </si>
  <si>
    <t xml:space="preserve">PB29</t>
  </si>
  <si>
    <t xml:space="preserve">Thông báo khi truyện đang theo dõi có chương mới</t>
  </si>
  <si>
    <t xml:space="preserve">Thông báo trong hệ thống; đánh dấu đã đọc</t>
  </si>
  <si>
    <t xml:space="preserve">7. Thảo luận và kiểm duyệt</t>
  </si>
  <si>
    <t xml:space="preserve">PB30</t>
  </si>
  <si>
    <t xml:space="preserve">Xem, đăng và trả lời thảo luận theo từng chương</t>
  </si>
  <si>
    <t xml:space="preserve">Thảo luận gắn đúng chương</t>
  </si>
  <si>
    <t xml:space="preserve">PB31</t>
  </si>
  <si>
    <t xml:space="preserve">Báo cáo nội dung thảo luận vi phạm</t>
  </si>
  <si>
    <t xml:space="preserve">PB32</t>
  </si>
  <si>
    <t xml:space="preserve">Admin kiểm duyệt thảo luận: ẩn/xóa, xử lý báo cáo</t>
  </si>
  <si>
    <t xml:space="preserve">8. Quản lý thành viên (Admin)</t>
  </si>
  <si>
    <t xml:space="preserve">PB33</t>
  </si>
  <si>
    <t xml:space="preserve">Xem danh sách, tình trạng tài khoản và thông tin sử dụng dịch vụ</t>
  </si>
  <si>
    <t xml:space="preserve">Lọc theo trạng thái; xem gói đang dùng, truyện đã mua</t>
  </si>
  <si>
    <t xml:space="preserve">PB34</t>
  </si>
  <si>
    <t xml:space="preserve">Hạn chế hoặc tạm ngừng tài khoản vi phạm</t>
  </si>
  <si>
    <t xml:space="preserve">Tài khoản bị khóa không đăng nhập / không bình luận được</t>
  </si>
  <si>
    <t xml:space="preserve">9. Thống kê (Admin)</t>
  </si>
  <si>
    <t xml:space="preserve">PB35</t>
  </si>
  <si>
    <t xml:space="preserve">Thống kê thành viên, đăng ký gói, gia hạn, mua truyện, trạng thái giao dịch</t>
  </si>
  <si>
    <t xml:space="preserve">Sprint 5</t>
  </si>
  <si>
    <t xml:space="preserve">Lọc theo khoảng thời gian</t>
  </si>
  <si>
    <t xml:space="preserve">PB36</t>
  </si>
  <si>
    <t xml:space="preserve">Thống kê doanh thu theo gói, theo truyện và theo thời gian</t>
  </si>
  <si>
    <t xml:space="preserve">Biểu đồ theo ngày / tháng</t>
  </si>
  <si>
    <t xml:space="preserve">PB37</t>
  </si>
  <si>
    <t xml:space="preserve">Thống kê nội dung: đọc nhiều, theo dõi nhiều, mua nhiều, thể loại quan tâm</t>
  </si>
  <si>
    <t xml:space="preserve">10. Nền tảng kỹ thuật</t>
  </si>
  <si>
    <t xml:space="preserve">PB38</t>
  </si>
  <si>
    <t xml:space="preserve">Thiết kế CSDL và tạo migration (EF Core, SQL Server)</t>
  </si>
  <si>
    <t xml:space="preserve">Sprint 0</t>
  </si>
  <si>
    <t xml:space="preserve">ERD đặt trong thư mục docs/</t>
  </si>
  <si>
    <t xml:space="preserve">PB39</t>
  </si>
  <si>
    <t xml:space="preserve">Khung Web API dùng chung (Swagger, xử lý lỗi, CORS)</t>
  </si>
  <si>
    <t xml:space="preserve">Trả lỗi 400/401/403/404 thống nhất</t>
  </si>
  <si>
    <t xml:space="preserve">PB40</t>
  </si>
  <si>
    <t xml:space="preserve">Khung Web (router, layout) và Mobile (navigation, Retrofit)</t>
  </si>
  <si>
    <t xml:space="preserve">Web, Mobile</t>
  </si>
  <si>
    <t xml:space="preserve">Web và Mobile gọi chung một API</t>
  </si>
  <si>
    <t xml:space="preserve">PB41</t>
  </si>
  <si>
    <t xml:space="preserve">Đọc offline chương đã tải trên Android</t>
  </si>
  <si>
    <t xml:space="preserve">Could</t>
  </si>
  <si>
    <t xml:space="preserve">Mobile</t>
  </si>
  <si>
    <t xml:space="preserve">Lưu chương bằng Room; đồng bộ tiến độ khi có mạng</t>
  </si>
  <si>
    <t xml:space="preserve">PB42</t>
  </si>
  <si>
    <t xml:space="preserve">Kiểm thử tích hợp Web + Mobile và tài liệu API</t>
  </si>
  <si>
    <t xml:space="preserve">11. Nâng cao (nhóm tự đề xuất, bổ sung 22/10/2026 theo yêu cầu giảng viên)</t>
  </si>
  <si>
    <t xml:space="preserve">PB43</t>
  </si>
  <si>
    <t xml:space="preserve">Chèn ảnh minh họa vào chương (nội dung xen kẽ chữ và ảnh)</t>
  </si>
  <si>
    <t xml:space="preserve">Nâng cao</t>
  </si>
  <si>
    <t xml:space="preserve">Admin chèn ảnh bằng nút, dán hoặc kéo thả, có xem trước; Web và Mobile hiển thị chữ xen ảnh</t>
  </si>
  <si>
    <t xml:space="preserve">PB44</t>
  </si>
  <si>
    <t xml:space="preserve">Làm lại giao diện Web theo phong cách web đọc truyện</t>
  </si>
  <si>
    <t xml:space="preserve">Web</t>
  </si>
  <si>
    <t xml:space="preserve">Trang chủ, chi tiết truyện, đọc chương đẹp, dùng tốt trên điện thoại</t>
  </si>
  <si>
    <t xml:space="preserve">PB45</t>
  </si>
  <si>
    <t xml:space="preserve">Thanh toán thật qua cổng VNPay Sandbox</t>
  </si>
  <si>
    <t xml:space="preserve">Chuyển sang trang VNPay, kiểm tra chữ ký (HMAC SHA512), nhận kết quả IPN; thay cho cổng giả lập</t>
  </si>
  <si>
    <t xml:space="preserve">PB46</t>
  </si>
  <si>
    <t xml:space="preserve">Thông báo thời gian thực bằng SignalR</t>
  </si>
  <si>
    <t xml:space="preserve">Admin đăng chương mới thì người theo dõi nhận thông báo ngay, không cần tải lại trang</t>
  </si>
  <si>
    <t xml:space="preserve">PB47</t>
  </si>
  <si>
    <t xml:space="preserve">Push notification trên Android (Firebase Cloud Messaging)</t>
  </si>
  <si>
    <t xml:space="preserve">API, Mobile</t>
  </si>
  <si>
    <t xml:space="preserve">Nhận thông báo chương mới cả khi đã tắt app</t>
  </si>
  <si>
    <t xml:space="preserve">PB48</t>
  </si>
  <si>
    <t xml:space="preserve">Nghe truyện (Text-to-Speech), hẹn giờ tắt, tự cuộn, tùy chỉnh giãn dòng và màu nền</t>
  </si>
  <si>
    <t xml:space="preserve">Đọc to tiếng Việt; tạm dừng/tiếp tục; cài đặt được lưu lại</t>
  </si>
  <si>
    <t xml:space="preserve">PB49</t>
  </si>
  <si>
    <t xml:space="preserve">Đánh giá sao và bảng xếp hạng ngày / tuần / tháng</t>
  </si>
  <si>
    <t xml:space="preserve">Mỗi thành viên chấm 1 lần/truyện (sửa được); xếp hạng theo lượt đọc trong khoảng thời gian</t>
  </si>
  <si>
    <t xml:space="preserve">PB50</t>
  </si>
  <si>
    <t xml:space="preserve">Gợi ý truyện theo sở thích (thể loại hay đọc, người đọc truyện này cũng đọc)</t>
  </si>
  <si>
    <t xml:space="preserve">Có mục "Có thể bạn thích" ở trang chủ và trang truyện</t>
  </si>
  <si>
    <t xml:space="preserve">PB51</t>
  </si>
  <si>
    <t xml:space="preserve">Tìm kiếm tiếng Việt không dấu và gợi ý tức thì</t>
  </si>
  <si>
    <t xml:space="preserve">Gõ "vu an" ra "Vụ Án Phòng Số 7"; gợi ý hiện khi đang gõ</t>
  </si>
  <si>
    <t xml:space="preserve">PB52</t>
  </si>
  <si>
    <t xml:space="preserve">PWA: cài trang web lên máy như ứng dụng</t>
  </si>
  <si>
    <t xml:space="preserve">Có icon, mở toàn màn hình, tải lại nhanh</t>
  </si>
  <si>
    <t xml:space="preserve">PB53</t>
  </si>
  <si>
    <t xml:space="preserve">Đăng nhập bằng vân tay trên Android</t>
  </si>
  <si>
    <t xml:space="preserve">Bật/tắt trong trang tài khoản; mở app xác thực vân tay</t>
  </si>
  <si>
    <t xml:space="preserve">PB54</t>
  </si>
  <si>
    <t xml:space="preserve">Xuất báo cáo thống kê ra file Excel</t>
  </si>
  <si>
    <t xml:space="preserve">Tải file .xlsx theo khoảng thời gian đang lọc</t>
  </si>
  <si>
    <t xml:space="preserve">PB55</t>
  </si>
  <si>
    <t xml:space="preserve">Kiểm thử tự động: unit test (xUnit) và kiểm thử giao diện (Playwright)</t>
  </si>
  <si>
    <t xml:space="preserve">Test quyền đọc, thanh toán, gia hạn; kịch bản đăng nhập - đọc truyện - thanh toán</t>
  </si>
  <si>
    <t xml:space="preserve">PB56</t>
  </si>
  <si>
    <t xml:space="preserve">CI/CD với GitHub Actions và Docker Compose</t>
  </si>
  <si>
    <t xml:space="preserve">Mỗi lần push tự build + chạy test; một lệnh chạy được SQL Server, API, Web</t>
  </si>
  <si>
    <t xml:space="preserve">PB57</t>
  </si>
  <si>
    <t xml:space="preserve">Đăng nhập bằng Google và quên mật khẩu qua email</t>
  </si>
  <si>
    <t xml:space="preserve">Gửi mã xác nhận qua email để đặt lại mật khẩu</t>
  </si>
  <si>
    <t xml:space="preserve">PB58</t>
  </si>
  <si>
    <t xml:space="preserve">Hệ thống xu: điểm danh hằng ngày, nhiệm vụ đọc, dùng xu mở khóa chương</t>
  </si>
  <si>
    <t xml:space="preserve">Nạp xu qua VNPay; lịch sử cộng/trừ xu</t>
  </si>
  <si>
    <t xml:space="preserve">PB59</t>
  </si>
  <si>
    <t xml:space="preserve">Widget màn hình chính Android: truyện đang đọc dở</t>
  </si>
  <si>
    <t xml:space="preserve">Bấm vào widget mở đúng chương đang đọc</t>
  </si>
  <si>
    <t xml:space="preserve">PB60</t>
  </si>
  <si>
    <t xml:space="preserve">Huy hiệu thành tích và chuỗi ngày đọc liên tục</t>
  </si>
  <si>
    <t xml:space="preserve">PB61</t>
  </si>
  <si>
    <t xml:space="preserve">Chatbot AI gợi ý truyện</t>
  </si>
  <si>
    <t xml:space="preserve">Cần API key của dịch vụ AI</t>
  </si>
  <si>
    <t xml:space="preserve">PB62</t>
  </si>
  <si>
    <t xml:space="preserve">Triển khai hệ thống lên Internet (deploy)</t>
  </si>
  <si>
    <t xml:space="preserve">Giảng viên mở link xem được, không cần chạy trên máy</t>
  </si>
  <si>
    <t xml:space="preserve">Tổng điểm</t>
  </si>
  <si>
    <t xml:space="preserve">Tổng điểm theo Sprint</t>
  </si>
  <si>
    <t xml:space="preserve">Sprint 0 - Khởi tạo và hạ tầng</t>
  </si>
  <si>
    <t xml:space="preserve">Sprint 1 - Tài khoản, quản lý truyện/chương, đọc truyện cơ bản</t>
  </si>
  <si>
    <t xml:space="preserve">Sprint 2 - Chính sách truy cập, gói đọc, kiểm tra quyền đọc</t>
  </si>
  <si>
    <t xml:space="preserve">Sprint 3 - Thanh toán, giao dịch, tiến độ đọc</t>
  </si>
  <si>
    <t xml:space="preserve">Sprint 4 - Theo dõi, thông báo, thảo luận, quản lý thành viên</t>
  </si>
  <si>
    <t xml:space="preserve">Sprint 5 - Thống kê, đọc offline, kiểm thử</t>
  </si>
  <si>
    <t xml:space="preserve">Trong đó: phần nâng cao (nhóm 11)</t>
  </si>
  <si>
    <t xml:space="preserve">Priority: Must = bắt buộc theo đề hoặc giảng viên yêu cầu; Should = nên có (nâng cao, ưu tiên làm); Could = điểm cộng nếu còn thời gian. Points theo thang 1, 2, 3, 5, 8.</t>
  </si>
  <si>
    <t xml:space="preserve">HỆ THỐNG QUẢN LÝ ĐỌC TRUYỆN - SPRINT BACKLOG</t>
  </si>
  <si>
    <t xml:space="preserve">Name Of Dev</t>
  </si>
  <si>
    <t xml:space="preserve">Start Date</t>
  </si>
  <si>
    <t xml:space="preserve">Endate</t>
  </si>
  <si>
    <t xml:space="preserve">Act Start Date</t>
  </si>
  <si>
    <t xml:space="preserve">ActEndate</t>
  </si>
  <si>
    <t xml:space="preserve">Act Points</t>
  </si>
  <si>
    <t xml:space="preserve">Notes</t>
  </si>
  <si>
    <t xml:space="preserve">Sprint 0 - Khởi tạo và hạ tầng (Tuần 1: 31/08 - 04/09/2026)</t>
  </si>
  <si>
    <t xml:space="preserve">Nguyễn Lê Phương</t>
  </si>
  <si>
    <t xml:space="preserve">API. ERD đặt trong thư mục docs/</t>
  </si>
  <si>
    <t xml:space="preserve">API. Trả lỗi 400/401/403/404 thống nhất</t>
  </si>
  <si>
    <t xml:space="preserve">Web, Mobile. Web và Mobile gọi chung một API. 01/10: Web (router, layout, các trang, gọi API); 02/10: Mobile (Navigation Compose, Retrofit gọi API)</t>
  </si>
  <si>
    <t xml:space="preserve">Tổng điểm Sprint 0</t>
  </si>
  <si>
    <t xml:space="preserve">Sprint 1 - Tài khoản, quản lý truyện/chương, đọc truyện cơ bản (Tuần 2 - Tuần 3: 07/09 - 18/09/2026)</t>
  </si>
  <si>
    <t xml:space="preserve">API, Web, Mobile. 02/10: API đăng ký (kiểm tra trùng, mã hóa mật khẩu). 06/10: form đăng ký Web + Mobile có kiểm tra dữ liệu, đăng ký xong tự đăng nhập.</t>
  </si>
  <si>
    <t xml:space="preserve">API, Web, Mobile. 02/10: API đăng nhập JWT + /api/auth/me. 06/10: Web + Mobile đăng nhập, lưu token, đăng xuất, tự đăng xuất khi token hết hạn.</t>
  </si>
  <si>
    <t xml:space="preserve">API, Web. Role Admin/Member trong JWT, [Authorize(Roles="Admin")]; tạo sẵn admin (admin/Admin@123); Web ẩn menu Quản trị, chặn /admin trả 403.</t>
  </si>
  <si>
    <t xml:space="preserve">API, Web. CRUD thể loại; không xóa thể loại đang gán cho truyện (409).</t>
  </si>
  <si>
    <t xml:space="preserve">API, Web. Tạo/sửa truyện, gán nhiều thể loại, upload ảnh bìa (jpg/png/webp, tối đa 2MB).</t>
  </si>
  <si>
    <t xml:space="preserve">API, Web. Đổi tình trạng Đang ra/Hoàn thành; hiển thị nhãn ở trang truyện.</t>
  </si>
  <si>
    <t xml:space="preserve">API, Web. Thêm chương; số thứ tự không trùng trong 1 truyện (409); tự gợi ý số chương tiếp theo.</t>
  </si>
  <si>
    <t xml:space="preserve">API, Web, Mobile. Tìm theo tên/tác giả, lọc thể loại, tình trạng, phân trang.</t>
  </si>
  <si>
    <t xml:space="preserve">API, Web, Mobile. Chi tiết truyện + danh sách chương kèm nhãn Miễn phí/Trả phí.</t>
  </si>
  <si>
    <t xml:space="preserve">API, Web, Mobile. Đọc chương miễn phí không cần đăng nhập; chương trước/sau, cỡ chữ, nền tối (lưu cài đặt).</t>
  </si>
  <si>
    <t xml:space="preserve">Tổng điểm Sprint 1</t>
  </si>
  <si>
    <t xml:space="preserve">Sprint 2 - Chính sách truy cập, gói đọc, kiểm tra quyền đọc (Tuần 4 - Tuần 5: 21/09 - 02/10/2026)</t>
  </si>
  <si>
    <t xml:space="preserve">API, Web, Mobile. Đổi tên hiển thị, đổi mật khẩu (cần mật khẩu cũ) trên Web và Android. Chờ chạy thử để chốt ngày xong.</t>
  </si>
  <si>
    <t xml:space="preserve">Hoàn thành sớm trong Sprint 1. API + Web sửa chương.</t>
  </si>
  <si>
    <t xml:space="preserve">Hoàn thành sớm trong Sprint 1. Hẹn giờ phát hành; người đọc không thấy chương chưa tới giờ, Admin thấy nhãn Hẹn giờ.</t>
  </si>
  <si>
    <t xml:space="preserve">Hoàn thành sớm trong Sprint 1. Web + Mobile: Mới cập nhật / Mới phát hành / Đọc nhiều.</t>
  </si>
  <si>
    <t xml:space="preserve">Hoàn thành sớm trong Sprint 1. Mỗi lần đọc tăng lượt đọc truyện/chương và lưu bảng ChapterViews có thời gian.</t>
  </si>
  <si>
    <t xml:space="preserve">Phạm Gia Huy</t>
  </si>
  <si>
    <t xml:space="preserve">API, Web, Mobile. Phạm Gia Huy làm: chọn Miễn phí / Trả phí / Kết hợp trong form truyện, N chương đầu miễn phí; Android hiện chính sách truy cập. Gộp vào develop 28/10.</t>
  </si>
  <si>
    <t xml:space="preserve">API, Web, Mobile. Phạm Gia Huy làm: nhập giá mua truyện, kiểm tra giá &gt; 0 với truyện trả phí/kết hợp; hiện giá trên Web, Android. Gộp vào develop 28/10.</t>
  </si>
  <si>
    <t xml:space="preserve">API, Web, Mobile. Phạm Gia Huy làm: Admin thêm/sửa gói, phạm vi Tất cả / Chọn truyện, ngừng bán (người đang dùng vẫn còn hạn); Android hiện gói áp dụng. Gộp vào develop 28/10.</t>
  </si>
  <si>
    <t xml:space="preserve">Phạm Gia Huy, Nguyễn Lê Phương</t>
  </si>
  <si>
    <t xml:space="preserve">API, Web, Mobile. 08-14/10 Phạm Gia Huy: chặn chương trả phí (403 kèm mã, giá), màn hình chương bị khóa Web + Android. 22/10 Nguyễn Lê Phương: nhãn "Đã mở khóa" theo gói/đã mua, thông báo quyền đọc ở trang truyện. Chờ chạy thử để chốt ngày xong.</t>
  </si>
  <si>
    <t xml:space="preserve">Tổng điểm Sprint 2</t>
  </si>
  <si>
    <t xml:space="preserve">Sprint 3 - Thanh toán, giao dịch, tiến độ đọc (Tuần 6 - Tuần 7: 05/10 - 16/10/2026)</t>
  </si>
  <si>
    <t xml:space="preserve">API, Web, Mobile. Chỉ kích hoạt gói khi giao dịch thành công</t>
  </si>
  <si>
    <t xml:space="preserve">API, Web, Mobile. Gia hạn khi còn hạn thì cộng dồn thời gian</t>
  </si>
  <si>
    <t xml:space="preserve">API, Web, Mobile. Quyền đã mua không mất khi gói hết hạn</t>
  </si>
  <si>
    <t xml:space="preserve">API. Giao dịch thất bại lưu trạng thái Failed</t>
  </si>
  <si>
    <t xml:space="preserve">API, Web. Admin xem danh sách lệch và bấm cấp lại quyền</t>
  </si>
  <si>
    <t xml:space="preserve">API, Web, Mobile. Hiển thị ngày bắt đầu và ngày hết hạn gói</t>
  </si>
  <si>
    <t xml:space="preserve">API, Web, Mobile. Đọc dở trên app thì mở web tiếp tục đúng chương</t>
  </si>
  <si>
    <t xml:space="preserve">API, Web, Mobile. Sắp xếp theo lần đọc gần nhất</t>
  </si>
  <si>
    <t xml:space="preserve">Tổng điểm Sprint 3</t>
  </si>
  <si>
    <t xml:space="preserve">Sprint 4 - Theo dõi, thông báo, thảo luận, quản lý thành viên (Tuần 8 - Tuần 9: 19/10 - 30/10/2026)</t>
  </si>
  <si>
    <t xml:space="preserve">API, Web, Mobile. Thông báo trong hệ thống; đánh dấu đã đọc</t>
  </si>
  <si>
    <t xml:space="preserve">API, Web, Mobile. Thảo luận gắn đúng chương</t>
  </si>
  <si>
    <t xml:space="preserve">API, Web. Lọc theo trạng thái; xem gói đang dùng, truyện đã mua</t>
  </si>
  <si>
    <t xml:space="preserve">API, Web. Tài khoản bị khóa không đăng nhập / không bình luận được</t>
  </si>
  <si>
    <t xml:space="preserve">Tổng điểm Sprint 4</t>
  </si>
  <si>
    <t xml:space="preserve">Sprint 5 - Thống kê, đọc offline, kiểm thử (Tuần 10 - Tuần 12: 02/11 - 20/11/2026)</t>
  </si>
  <si>
    <t xml:space="preserve">API, Web. Lọc theo khoảng thời gian</t>
  </si>
  <si>
    <t xml:space="preserve">API, Web. Biểu đồ theo ngày / tháng</t>
  </si>
  <si>
    <t xml:space="preserve">Mobile. Lưu chương bằng Room; đồng bộ tiến độ khi có mạng</t>
  </si>
  <si>
    <t xml:space="preserve">Tổng điểm Sprint 5</t>
  </si>
  <si>
    <t xml:space="preserve">Phần nâng cao (bổ sung 22/10/2026 theo yêu cầu giảng viên, làm xen kẽ Sprint 3 - Sprint 5)</t>
  </si>
  <si>
    <t xml:space="preserve">API, Web, Mobile. Must · làm cùng Sprint 4. 22/10: upload ảnh, nút Chèn ảnh / dán / kéo thả, xem trước; Web + Android hiện chữ xen ảnh; truyện mẫu "Chuyến Tàu Đêm Qua Đèo". Chờ chạy thử để chốt ngày xong.</t>
  </si>
  <si>
    <t xml:space="preserve">Web. Must · làm cùng Sprint 4</t>
  </si>
  <si>
    <t xml:space="preserve">API, Web, Mobile. Should · làm cùng Sprint 3</t>
  </si>
  <si>
    <t xml:space="preserve">API, Web. Should · làm cùng Sprint 4</t>
  </si>
  <si>
    <t xml:space="preserve">API, Mobile. Should · làm cùng Sprint 5</t>
  </si>
  <si>
    <t xml:space="preserve">Web, Mobile. Should · làm cùng Sprint 5</t>
  </si>
  <si>
    <t xml:space="preserve">API, Web, Mobile. Should · làm cùng Sprint 5</t>
  </si>
  <si>
    <t xml:space="preserve">API, Web, Mobile. Should · làm cùng Sprint 4</t>
  </si>
  <si>
    <t xml:space="preserve">Web. Should · làm cùng Sprint 5</t>
  </si>
  <si>
    <t xml:space="preserve">Mobile. Should · làm cùng Sprint 5</t>
  </si>
  <si>
    <t xml:space="preserve">API, Web. Should · làm cùng Sprint 5</t>
  </si>
  <si>
    <t xml:space="preserve">API, Web, Mobile. Could · làm cùng Sprint 5</t>
  </si>
  <si>
    <t xml:space="preserve">Mobile. Could · làm cùng Sprint 5</t>
  </si>
  <si>
    <t xml:space="preserve">API, Web. Could · làm cùng Sprint 5</t>
  </si>
  <si>
    <t xml:space="preserve">Tổng điểm phần nâng cao</t>
  </si>
  <si>
    <t xml:space="preserve">TỔNG CỘNG</t>
  </si>
</sst>
</file>

<file path=xl/styles.xml><?xml version="1.0" encoding="utf-8"?>
<styleSheet xmlns="http://schemas.openxmlformats.org/spreadsheetml/2006/main">
  <numFmts count="3">
    <numFmt numFmtId="164" formatCode="General"/>
    <numFmt numFmtId="165" formatCode="m/d/yyyy"/>
    <numFmt numFmtId="166"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b val="true"/>
      <sz val="11"/>
      <color rgb="FF1F4E78"/>
      <name val="Arial"/>
      <family val="0"/>
      <charset val="1"/>
    </font>
    <font>
      <sz val="10"/>
      <color rgb="FF000000"/>
      <name val="Arial"/>
      <family val="0"/>
      <charset val="1"/>
    </font>
    <font>
      <b val="true"/>
      <sz val="10"/>
      <color rgb="FFFFFFFF"/>
      <name val="Arial"/>
      <family val="0"/>
      <charset val="1"/>
    </font>
    <font>
      <b val="true"/>
      <sz val="10"/>
      <color rgb="FF000000"/>
      <name val="Arial"/>
      <family val="0"/>
      <charset val="1"/>
    </font>
    <font>
      <sz val="10"/>
      <color rgb="FF000000"/>
      <name val="Arial"/>
      <family val="2"/>
      <charset val="1"/>
    </font>
    <font>
      <sz val="10"/>
      <color rgb="FF7F7F7F"/>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theme="0"/>
        <bgColor rgb="FFFFF2CC"/>
      </patternFill>
    </fill>
    <fill>
      <patternFill patternType="solid">
        <fgColor rgb="FFDDEBF7"/>
        <bgColor rgb="FFE2EFDA"/>
      </patternFill>
    </fill>
    <fill>
      <patternFill patternType="solid">
        <fgColor rgb="FFE2EFDA"/>
        <bgColor rgb="FFDDEBF7"/>
      </patternFill>
    </fill>
    <fill>
      <patternFill patternType="solid">
        <fgColor rgb="FFFCE4D6"/>
        <bgColor rgb="FFFFF2CC"/>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general" vertical="bottom" textRotation="0" wrapText="false" indent="0" shrinkToFit="false"/>
      <protection locked="true" hidden="false"/>
    </xf>
    <xf numFmtId="166" fontId="8" fillId="6"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6" fontId="8" fillId="0" borderId="0" xfId="0" applyFont="true" applyBorder="fals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90"/>
  </cols>
  <sheetData>
    <row r="1" customFormat="false" ht="17.25" hidden="false" customHeight="true" outlineLevel="0" collapsed="false">
      <c r="A1" s="2" t="s">
        <v>0</v>
      </c>
      <c r="B1" s="2"/>
      <c r="C1" s="2"/>
    </row>
    <row r="3" customFormat="false" ht="14.25" hidden="false" customHeight="true" outlineLevel="0" collapsed="false">
      <c r="A3" s="3" t="s">
        <v>1</v>
      </c>
      <c r="B3" s="3"/>
      <c r="C3" s="3"/>
    </row>
    <row r="4" customFormat="false" ht="15" hidden="false" customHeight="true" outlineLevel="0" collapsed="false">
      <c r="A4" s="4" t="s">
        <v>2</v>
      </c>
      <c r="B4" s="4"/>
      <c r="C4" s="4"/>
    </row>
    <row r="6" customFormat="false" ht="14.25" hidden="false" customHeight="true" outlineLevel="0" collapsed="false">
      <c r="A6" s="3" t="s">
        <v>3</v>
      </c>
      <c r="B6" s="3"/>
      <c r="C6" s="3"/>
    </row>
    <row r="7" customFormat="false" ht="45" hidden="false" customHeight="true" outlineLevel="0" collapsed="false">
      <c r="A7" s="4" t="s">
        <v>4</v>
      </c>
      <c r="B7" s="4"/>
      <c r="C7" s="4"/>
    </row>
    <row r="9" customFormat="false" ht="14.25" hidden="false" customHeight="true" outlineLevel="0" collapsed="false">
      <c r="A9" s="3" t="s">
        <v>5</v>
      </c>
      <c r="B9" s="3"/>
      <c r="C9" s="3"/>
    </row>
    <row r="10" customFormat="false" ht="15" hidden="false" customHeight="true" outlineLevel="0" collapsed="false">
      <c r="A10" s="4" t="s">
        <v>6</v>
      </c>
      <c r="B10" s="4"/>
      <c r="C10" s="4"/>
    </row>
    <row r="11" customFormat="false" ht="15" hidden="false" customHeight="true" outlineLevel="0" collapsed="false">
      <c r="A11" s="4" t="s">
        <v>7</v>
      </c>
      <c r="B11" s="4"/>
      <c r="C11" s="4"/>
    </row>
    <row r="12" customFormat="false" ht="30" hidden="false" customHeight="true" outlineLevel="0" collapsed="false">
      <c r="A12" s="4" t="s">
        <v>8</v>
      </c>
      <c r="B12" s="4"/>
      <c r="C12" s="4"/>
    </row>
    <row r="14" customFormat="false" ht="14.25" hidden="false" customHeight="true" outlineLevel="0" collapsed="false">
      <c r="A14" s="3" t="s">
        <v>9</v>
      </c>
      <c r="B14" s="3"/>
      <c r="C14" s="3"/>
    </row>
    <row r="15" customFormat="false" ht="14.25" hidden="false" customHeight="true" outlineLevel="0" collapsed="false">
      <c r="A15" s="5" t="s">
        <v>10</v>
      </c>
      <c r="B15" s="5" t="s">
        <v>11</v>
      </c>
      <c r="C15" s="5" t="s">
        <v>12</v>
      </c>
    </row>
    <row r="16" customFormat="false" ht="30" hidden="false" customHeight="true" outlineLevel="0" collapsed="false">
      <c r="A16" s="6" t="s">
        <v>13</v>
      </c>
      <c r="B16" s="7" t="s">
        <v>14</v>
      </c>
      <c r="C16" s="7" t="s">
        <v>15</v>
      </c>
    </row>
    <row r="17" customFormat="false" ht="30" hidden="false" customHeight="true" outlineLevel="0" collapsed="false">
      <c r="A17" s="6" t="s">
        <v>16</v>
      </c>
      <c r="B17" s="7" t="s">
        <v>17</v>
      </c>
      <c r="C17" s="7" t="s">
        <v>18</v>
      </c>
    </row>
    <row r="18" customFormat="false" ht="30" hidden="false" customHeight="true" outlineLevel="0" collapsed="false">
      <c r="A18" s="6" t="s">
        <v>19</v>
      </c>
      <c r="B18" s="7" t="s">
        <v>20</v>
      </c>
      <c r="C18" s="7" t="s">
        <v>21</v>
      </c>
    </row>
    <row r="19" customFormat="false" ht="30" hidden="false" customHeight="true" outlineLevel="0" collapsed="false">
      <c r="A19" s="6" t="s">
        <v>22</v>
      </c>
      <c r="B19" s="7" t="s">
        <v>23</v>
      </c>
      <c r="C19" s="7" t="s">
        <v>24</v>
      </c>
    </row>
    <row r="20" customFormat="false" ht="30" hidden="false" customHeight="true" outlineLevel="0" collapsed="false">
      <c r="A20" s="6" t="s">
        <v>25</v>
      </c>
      <c r="B20" s="7" t="s">
        <v>26</v>
      </c>
      <c r="C20" s="7" t="s">
        <v>27</v>
      </c>
    </row>
    <row r="21" customFormat="false" ht="30" hidden="false" customHeight="true" outlineLevel="0" collapsed="false">
      <c r="A21" s="6" t="s">
        <v>28</v>
      </c>
      <c r="B21" s="7" t="s">
        <v>29</v>
      </c>
      <c r="C21" s="7" t="s">
        <v>30</v>
      </c>
    </row>
    <row r="22" customFormat="false" ht="30" hidden="false" customHeight="true" outlineLevel="0" collapsed="false">
      <c r="A22" s="6" t="s">
        <v>31</v>
      </c>
      <c r="B22" s="7" t="s">
        <v>32</v>
      </c>
      <c r="C22" s="7" t="s">
        <v>33</v>
      </c>
    </row>
    <row r="23" customFormat="false" ht="30" hidden="false" customHeight="true" outlineLevel="0" collapsed="false">
      <c r="A23" s="6" t="s">
        <v>34</v>
      </c>
      <c r="B23" s="7" t="s">
        <v>35</v>
      </c>
      <c r="C23" s="7" t="s">
        <v>36</v>
      </c>
    </row>
    <row r="24" customFormat="false" ht="30" hidden="false" customHeight="true" outlineLevel="0" collapsed="false">
      <c r="A24" s="6" t="s">
        <v>37</v>
      </c>
      <c r="B24" s="7" t="s">
        <v>38</v>
      </c>
      <c r="C24" s="7" t="s">
        <v>39</v>
      </c>
    </row>
    <row r="25" customFormat="false" ht="30" hidden="false" customHeight="true" outlineLevel="0" collapsed="false">
      <c r="A25" s="6" t="s">
        <v>40</v>
      </c>
      <c r="B25" s="7" t="s">
        <v>41</v>
      </c>
      <c r="C25" s="7" t="s">
        <v>42</v>
      </c>
    </row>
    <row r="26" customFormat="false" ht="30" hidden="false" customHeight="true" outlineLevel="0" collapsed="false">
      <c r="A26" s="6" t="s">
        <v>43</v>
      </c>
      <c r="B26" s="7" t="s">
        <v>44</v>
      </c>
      <c r="C26" s="7" t="s">
        <v>45</v>
      </c>
    </row>
    <row r="27" customFormat="false" ht="30" hidden="false" customHeight="true" outlineLevel="0" collapsed="false">
      <c r="A27" s="6" t="s">
        <v>46</v>
      </c>
      <c r="B27" s="7" t="s">
        <v>47</v>
      </c>
      <c r="C27" s="7" t="s">
        <v>48</v>
      </c>
    </row>
    <row r="28" customFormat="false" ht="30" hidden="false" customHeight="true" outlineLevel="0" collapsed="false">
      <c r="A28" s="6" t="s">
        <v>49</v>
      </c>
      <c r="B28" s="7" t="s">
        <v>50</v>
      </c>
      <c r="C28" s="7" t="s">
        <v>51</v>
      </c>
    </row>
    <row r="29" customFormat="false" ht="30" hidden="false" customHeight="true" outlineLevel="0" collapsed="false">
      <c r="A29" s="6" t="s">
        <v>52</v>
      </c>
      <c r="B29" s="7" t="s">
        <v>53</v>
      </c>
      <c r="C29" s="7" t="s">
        <v>54</v>
      </c>
    </row>
    <row r="30" customFormat="false" ht="30" hidden="false" customHeight="true" outlineLevel="0" collapsed="false">
      <c r="A30" s="6" t="s">
        <v>55</v>
      </c>
      <c r="B30" s="7" t="s">
        <v>56</v>
      </c>
      <c r="C30" s="7" t="s">
        <v>57</v>
      </c>
    </row>
    <row r="31" customFormat="false" ht="30" hidden="false" customHeight="true" outlineLevel="0" collapsed="false">
      <c r="A31" s="6" t="s">
        <v>58</v>
      </c>
      <c r="B31" s="7" t="s">
        <v>59</v>
      </c>
      <c r="C31" s="7" t="s">
        <v>60</v>
      </c>
    </row>
    <row r="32" customFormat="false" ht="30" hidden="false" customHeight="true" outlineLevel="0" collapsed="false">
      <c r="A32" s="6" t="s">
        <v>61</v>
      </c>
      <c r="B32" s="7" t="s">
        <v>62</v>
      </c>
      <c r="C32" s="7" t="s">
        <v>63</v>
      </c>
    </row>
    <row r="33" customFormat="false" ht="30" hidden="false" customHeight="true" outlineLevel="0" collapsed="false">
      <c r="A33" s="6" t="s">
        <v>64</v>
      </c>
      <c r="B33" s="7" t="s">
        <v>65</v>
      </c>
      <c r="C33" s="7" t="s">
        <v>66</v>
      </c>
    </row>
    <row r="35" customFormat="false" ht="14.25" hidden="false" customHeight="true" outlineLevel="0" collapsed="false">
      <c r="A35" s="3" t="s">
        <v>67</v>
      </c>
      <c r="B35" s="3"/>
      <c r="C35" s="3"/>
    </row>
    <row r="36" customFormat="false" ht="15" hidden="false" customHeight="true" outlineLevel="0" collapsed="false">
      <c r="A36" s="4" t="s">
        <v>68</v>
      </c>
      <c r="B36" s="4"/>
      <c r="C36" s="4"/>
    </row>
    <row r="37" customFormat="false" ht="15" hidden="false" customHeight="true" outlineLevel="0" collapsed="false">
      <c r="A37" s="4" t="s">
        <v>69</v>
      </c>
      <c r="B37" s="4"/>
      <c r="C37" s="4"/>
    </row>
    <row r="38" customFormat="false" ht="15" hidden="false" customHeight="true" outlineLevel="0" collapsed="false">
      <c r="A38" s="4" t="s">
        <v>70</v>
      </c>
      <c r="B38" s="4"/>
      <c r="C38" s="4"/>
    </row>
    <row r="39" customFormat="false" ht="15" hidden="false" customHeight="true" outlineLevel="0" collapsed="false">
      <c r="A39" s="4" t="s">
        <v>71</v>
      </c>
      <c r="B39" s="4"/>
      <c r="C39" s="4"/>
    </row>
    <row r="40" customFormat="false" ht="15" hidden="false" customHeight="true" outlineLevel="0" collapsed="false">
      <c r="A40" s="4" t="s">
        <v>72</v>
      </c>
      <c r="B40" s="4"/>
      <c r="C40" s="4"/>
    </row>
    <row r="41" customFormat="false" ht="15" hidden="false" customHeight="true" outlineLevel="0" collapsed="false">
      <c r="A41" s="4" t="s">
        <v>73</v>
      </c>
      <c r="B41" s="4"/>
      <c r="C41" s="4"/>
    </row>
    <row r="42" customFormat="false" ht="15" hidden="false" customHeight="true" outlineLevel="0" collapsed="false">
      <c r="A42" s="4" t="s">
        <v>74</v>
      </c>
      <c r="B42" s="4"/>
      <c r="C42" s="4"/>
    </row>
    <row r="43" customFormat="false" ht="15" hidden="false" customHeight="true" outlineLevel="0" collapsed="false">
      <c r="A43" s="4" t="s">
        <v>75</v>
      </c>
      <c r="B43" s="4"/>
      <c r="C43" s="4"/>
    </row>
    <row r="45" customFormat="false" ht="14.25" hidden="false" customHeight="true" outlineLevel="0" collapsed="false">
      <c r="A45" s="3" t="s">
        <v>76</v>
      </c>
      <c r="B45" s="3"/>
      <c r="C45" s="3"/>
    </row>
    <row r="46" customFormat="false" ht="15" hidden="false" customHeight="true" outlineLevel="0" collapsed="false">
      <c r="A46" s="4" t="s">
        <v>77</v>
      </c>
      <c r="B46" s="4"/>
      <c r="C46" s="4"/>
    </row>
    <row r="47" customFormat="false" ht="15" hidden="false" customHeight="true" outlineLevel="0" collapsed="false">
      <c r="A47" s="4" t="s">
        <v>78</v>
      </c>
      <c r="B47" s="4"/>
      <c r="C47" s="4"/>
    </row>
    <row r="48" customFormat="false" ht="15" hidden="false" customHeight="true" outlineLevel="0" collapsed="false">
      <c r="A48" s="4" t="s">
        <v>79</v>
      </c>
      <c r="B48" s="4"/>
      <c r="C48" s="4"/>
    </row>
    <row r="50" customFormat="false" ht="14.25" hidden="false" customHeight="true" outlineLevel="0" collapsed="false">
      <c r="A50" s="3" t="s">
        <v>80</v>
      </c>
      <c r="B50" s="3"/>
      <c r="C50" s="3"/>
    </row>
    <row r="51" customFormat="false" ht="14.25" hidden="false" customHeight="true" outlineLevel="0" collapsed="false">
      <c r="A51" s="8"/>
      <c r="B51" s="9" t="s">
        <v>81</v>
      </c>
      <c r="C51" s="8" t="s">
        <v>82</v>
      </c>
    </row>
    <row r="52" customFormat="false" ht="14.25" hidden="false" customHeight="true" outlineLevel="0" collapsed="false">
      <c r="A52" s="8"/>
      <c r="B52" s="9" t="s">
        <v>83</v>
      </c>
      <c r="C52" s="8" t="s">
        <v>84</v>
      </c>
    </row>
    <row r="53" customFormat="false" ht="14.25" hidden="false" customHeight="true" outlineLevel="0" collapsed="false">
      <c r="A53" s="8"/>
      <c r="B53" s="9" t="s">
        <v>85</v>
      </c>
      <c r="C53" s="8" t="s">
        <v>86</v>
      </c>
    </row>
    <row r="54" customFormat="false" ht="14.25" hidden="false" customHeight="true" outlineLevel="0" collapsed="false">
      <c r="A54" s="8"/>
      <c r="B54" s="9" t="s">
        <v>87</v>
      </c>
      <c r="C54" s="8" t="s">
        <v>88</v>
      </c>
    </row>
    <row r="55" customFormat="false" ht="14.25" hidden="false" customHeight="true" outlineLevel="0" collapsed="false">
      <c r="A55" s="8"/>
      <c r="B55" s="9" t="s">
        <v>89</v>
      </c>
      <c r="C55" s="8" t="s">
        <v>90</v>
      </c>
    </row>
  </sheetData>
  <mergeCells count="24">
    <mergeCell ref="A1:C1"/>
    <mergeCell ref="A3:C3"/>
    <mergeCell ref="A4:C4"/>
    <mergeCell ref="A6:C6"/>
    <mergeCell ref="A7:C7"/>
    <mergeCell ref="A9:C9"/>
    <mergeCell ref="A10:C10"/>
    <mergeCell ref="A11:C11"/>
    <mergeCell ref="A12:C12"/>
    <mergeCell ref="A14:C14"/>
    <mergeCell ref="A35:C35"/>
    <mergeCell ref="A36:C36"/>
    <mergeCell ref="A37:C37"/>
    <mergeCell ref="A38:C38"/>
    <mergeCell ref="A39:C39"/>
    <mergeCell ref="A40:C40"/>
    <mergeCell ref="A41:C41"/>
    <mergeCell ref="A42:C42"/>
    <mergeCell ref="A43:C43"/>
    <mergeCell ref="A45:C45"/>
    <mergeCell ref="A46:C46"/>
    <mergeCell ref="A47:C47"/>
    <mergeCell ref="A48:C48"/>
    <mergeCell ref="A50:C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6" activeCellId="0" sqref="C6"/>
    </sheetView>
  </sheetViews>
  <sheetFormatPr defaultColWidth="8.66796875" defaultRowHeight="14.2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20"/>
    <col collapsed="false" customWidth="true" hidden="false" outlineLevel="0" max="4" min="4" style="1" width="36"/>
    <col collapsed="false" customWidth="true" hidden="false" outlineLevel="0" max="6" min="5" style="1" width="14"/>
  </cols>
  <sheetData>
    <row r="1" customFormat="false" ht="17.25" hidden="false" customHeight="true" outlineLevel="0" collapsed="false">
      <c r="A1" s="2" t="s">
        <v>91</v>
      </c>
      <c r="B1" s="2"/>
      <c r="C1" s="2"/>
      <c r="D1" s="2"/>
      <c r="E1" s="2"/>
      <c r="F1" s="2"/>
    </row>
    <row r="2" customFormat="false" ht="14.25" hidden="false" customHeight="true" outlineLevel="0" collapsed="false">
      <c r="A2" s="5" t="s">
        <v>92</v>
      </c>
      <c r="B2" s="5" t="s">
        <v>93</v>
      </c>
      <c r="C2" s="5" t="s">
        <v>94</v>
      </c>
      <c r="D2" s="5" t="s">
        <v>95</v>
      </c>
      <c r="E2" s="5" t="s">
        <v>96</v>
      </c>
      <c r="F2" s="5" t="s">
        <v>97</v>
      </c>
    </row>
    <row r="3" customFormat="false" ht="14.25" hidden="false" customHeight="true" outlineLevel="0" collapsed="false">
      <c r="A3" s="7" t="n">
        <v>1</v>
      </c>
      <c r="B3" s="7" t="s">
        <v>98</v>
      </c>
      <c r="C3" s="10"/>
      <c r="D3" s="10"/>
      <c r="E3" s="11" t="n">
        <v>46265</v>
      </c>
      <c r="F3" s="11" t="n">
        <v>46346</v>
      </c>
    </row>
    <row r="4" customFormat="false" ht="14.25" hidden="false" customHeight="true" outlineLevel="0" collapsed="false">
      <c r="A4" s="7" t="n">
        <v>2</v>
      </c>
      <c r="B4" s="7" t="s">
        <v>99</v>
      </c>
      <c r="C4" s="10"/>
      <c r="D4" s="10"/>
      <c r="E4" s="11" t="n">
        <v>46265</v>
      </c>
      <c r="F4" s="11" t="n">
        <v>46346</v>
      </c>
    </row>
    <row r="5" customFormat="false" ht="14.25" hidden="false" customHeight="true" outlineLevel="0" collapsed="false">
      <c r="A5" s="7" t="n">
        <v>3</v>
      </c>
      <c r="B5" s="7" t="s">
        <v>100</v>
      </c>
      <c r="C5" s="10"/>
      <c r="D5" s="10"/>
      <c r="E5" s="11" t="n">
        <v>46265</v>
      </c>
      <c r="F5" s="11" t="n">
        <v>46346</v>
      </c>
    </row>
    <row r="6" customFormat="false" ht="14.25" hidden="false" customHeight="true" outlineLevel="0" collapsed="false">
      <c r="A6" s="7" t="n">
        <v>4</v>
      </c>
      <c r="B6" s="7" t="s">
        <v>101</v>
      </c>
      <c r="C6" s="12" t="s">
        <v>102</v>
      </c>
      <c r="D6" s="10" t="s">
        <v>103</v>
      </c>
      <c r="E6" s="11" t="n">
        <v>46265</v>
      </c>
      <c r="F6" s="11" t="n">
        <v>46346</v>
      </c>
    </row>
    <row r="7" customFormat="false" ht="14.25" hidden="false" customHeight="true" outlineLevel="0" collapsed="false">
      <c r="A7" s="7" t="n">
        <v>5</v>
      </c>
      <c r="B7" s="7" t="s">
        <v>104</v>
      </c>
      <c r="C7" s="10"/>
      <c r="D7" s="10"/>
      <c r="E7" s="11" t="n">
        <v>46265</v>
      </c>
      <c r="F7" s="11" t="n">
        <v>46346</v>
      </c>
    </row>
    <row r="8" customFormat="false" ht="26.25" hidden="false" customHeight="true" outlineLevel="0" collapsed="false">
      <c r="A8" s="7" t="n">
        <v>6</v>
      </c>
      <c r="B8" s="7" t="s">
        <v>105</v>
      </c>
      <c r="C8" s="7" t="s">
        <v>106</v>
      </c>
      <c r="D8" s="7" t="s">
        <v>107</v>
      </c>
      <c r="E8" s="11" t="n">
        <v>46265</v>
      </c>
      <c r="F8" s="11" t="n">
        <v>46346</v>
      </c>
    </row>
    <row r="10" customFormat="false" ht="14.25" hidden="false" customHeight="true" outlineLevel="0" collapsed="false">
      <c r="A10" s="1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38" activeCellId="0" sqref="A38"/>
    </sheetView>
  </sheetViews>
  <sheetFormatPr defaultColWidth="8.66796875" defaultRowHeight="14.25" zeroHeight="false" outlineLevelRow="0" outlineLevelCol="0"/>
  <cols>
    <col collapsed="false" customWidth="true" hidden="false" outlineLevel="0" max="1" min="1" style="1" width="10"/>
    <col collapsed="false" customWidth="true" hidden="false" outlineLevel="0" max="2" min="2" style="1" width="60"/>
    <col collapsed="false" customWidth="true" hidden="false" outlineLevel="0" max="3" min="3" style="1" width="8"/>
    <col collapsed="false" customWidth="true" hidden="false" outlineLevel="0" max="4" min="4" style="1" width="10"/>
    <col collapsed="false" customWidth="true" hidden="false" outlineLevel="0" max="5" min="5" style="1" width="12"/>
    <col collapsed="false" customWidth="true" hidden="false" outlineLevel="0" max="6" min="6" style="1" width="18"/>
    <col collapsed="false" customWidth="true" hidden="false" outlineLevel="0" max="7" min="7" style="1" width="10"/>
    <col collapsed="false" customWidth="true" hidden="false" outlineLevel="0" max="8" min="8" style="1" width="60"/>
  </cols>
  <sheetData>
    <row r="1" customFormat="false" ht="17.25" hidden="false" customHeight="true" outlineLevel="0" collapsed="false">
      <c r="A1" s="2" t="s">
        <v>108</v>
      </c>
      <c r="B1" s="2"/>
      <c r="C1" s="2"/>
      <c r="D1" s="2"/>
      <c r="E1" s="2"/>
      <c r="F1" s="2"/>
      <c r="G1" s="2"/>
      <c r="H1" s="2"/>
    </row>
    <row r="2" customFormat="false" ht="26.25" hidden="false" customHeight="true" outlineLevel="0" collapsed="false">
      <c r="A2" s="5" t="s">
        <v>109</v>
      </c>
      <c r="B2" s="5" t="s">
        <v>110</v>
      </c>
      <c r="C2" s="5" t="s">
        <v>111</v>
      </c>
      <c r="D2" s="5" t="s">
        <v>112</v>
      </c>
      <c r="E2" s="5" t="s">
        <v>113</v>
      </c>
      <c r="F2" s="5" t="s">
        <v>114</v>
      </c>
      <c r="G2" s="5" t="s">
        <v>115</v>
      </c>
      <c r="H2" s="5" t="s">
        <v>116</v>
      </c>
    </row>
    <row r="3" customFormat="false" ht="14.25" hidden="false" customHeight="true" outlineLevel="0" collapsed="false">
      <c r="A3" s="14" t="s">
        <v>117</v>
      </c>
      <c r="B3" s="15"/>
      <c r="C3" s="15"/>
      <c r="D3" s="15"/>
      <c r="E3" s="15"/>
      <c r="F3" s="15"/>
      <c r="G3" s="15"/>
      <c r="H3" s="15"/>
    </row>
    <row r="4" customFormat="false" ht="26.25" hidden="false" customHeight="true" outlineLevel="0" collapsed="false">
      <c r="A4" s="16" t="s">
        <v>118</v>
      </c>
      <c r="B4" s="7" t="s">
        <v>119</v>
      </c>
      <c r="C4" s="16" t="n">
        <v>3</v>
      </c>
      <c r="D4" s="16" t="s">
        <v>120</v>
      </c>
      <c r="E4" s="16" t="s">
        <v>121</v>
      </c>
      <c r="F4" s="7" t="s">
        <v>122</v>
      </c>
      <c r="G4" s="16" t="s">
        <v>123</v>
      </c>
      <c r="H4" s="7" t="s">
        <v>124</v>
      </c>
    </row>
    <row r="5" customFormat="false" ht="14.25" hidden="false" customHeight="true" outlineLevel="0" collapsed="false">
      <c r="A5" s="16" t="s">
        <v>125</v>
      </c>
      <c r="B5" s="7" t="s">
        <v>126</v>
      </c>
      <c r="C5" s="16" t="n">
        <v>3</v>
      </c>
      <c r="D5" s="16" t="s">
        <v>120</v>
      </c>
      <c r="E5" s="16" t="s">
        <v>121</v>
      </c>
      <c r="F5" s="7" t="s">
        <v>122</v>
      </c>
      <c r="G5" s="16" t="s">
        <v>123</v>
      </c>
      <c r="H5" s="7" t="s">
        <v>127</v>
      </c>
    </row>
    <row r="6" customFormat="false" ht="14.25" hidden="false" customHeight="true" outlineLevel="0" collapsed="false">
      <c r="A6" s="16" t="s">
        <v>128</v>
      </c>
      <c r="B6" s="7" t="s">
        <v>129</v>
      </c>
      <c r="C6" s="16" t="n">
        <v>5</v>
      </c>
      <c r="D6" s="16" t="s">
        <v>120</v>
      </c>
      <c r="E6" s="16" t="s">
        <v>121</v>
      </c>
      <c r="F6" s="7" t="s">
        <v>130</v>
      </c>
      <c r="G6" s="16" t="s">
        <v>123</v>
      </c>
      <c r="H6" s="7" t="s">
        <v>131</v>
      </c>
    </row>
    <row r="7" customFormat="false" ht="14.25" hidden="false" customHeight="true" outlineLevel="0" collapsed="false">
      <c r="A7" s="16" t="s">
        <v>132</v>
      </c>
      <c r="B7" s="7" t="s">
        <v>133</v>
      </c>
      <c r="C7" s="16" t="n">
        <v>2</v>
      </c>
      <c r="D7" s="16" t="s">
        <v>134</v>
      </c>
      <c r="E7" s="16" t="s">
        <v>121</v>
      </c>
      <c r="F7" s="7" t="s">
        <v>122</v>
      </c>
      <c r="G7" s="16" t="s">
        <v>135</v>
      </c>
      <c r="H7" s="7" t="s">
        <v>136</v>
      </c>
    </row>
    <row r="8" customFormat="false" ht="14.25" hidden="false" customHeight="true" outlineLevel="0" collapsed="false">
      <c r="A8" s="14" t="s">
        <v>137</v>
      </c>
      <c r="B8" s="15"/>
      <c r="C8" s="15"/>
      <c r="D8" s="15"/>
      <c r="E8" s="15"/>
      <c r="F8" s="15"/>
      <c r="G8" s="15"/>
      <c r="H8" s="15"/>
    </row>
    <row r="9" customFormat="false" ht="14.25" hidden="false" customHeight="true" outlineLevel="0" collapsed="false">
      <c r="A9" s="16" t="s">
        <v>138</v>
      </c>
      <c r="B9" s="7" t="s">
        <v>139</v>
      </c>
      <c r="C9" s="16" t="n">
        <v>2</v>
      </c>
      <c r="D9" s="16" t="s">
        <v>120</v>
      </c>
      <c r="E9" s="16" t="s">
        <v>13</v>
      </c>
      <c r="F9" s="7" t="s">
        <v>130</v>
      </c>
      <c r="G9" s="16" t="s">
        <v>123</v>
      </c>
      <c r="H9" s="7" t="s">
        <v>140</v>
      </c>
    </row>
    <row r="10" customFormat="false" ht="14.25" hidden="false" customHeight="true" outlineLevel="0" collapsed="false">
      <c r="A10" s="16" t="s">
        <v>141</v>
      </c>
      <c r="B10" s="7" t="s">
        <v>142</v>
      </c>
      <c r="C10" s="16" t="n">
        <v>5</v>
      </c>
      <c r="D10" s="16" t="s">
        <v>120</v>
      </c>
      <c r="E10" s="16" t="s">
        <v>13</v>
      </c>
      <c r="F10" s="7" t="s">
        <v>130</v>
      </c>
      <c r="G10" s="16" t="s">
        <v>123</v>
      </c>
      <c r="H10" s="7" t="s">
        <v>143</v>
      </c>
    </row>
    <row r="11" customFormat="false" ht="14.25" hidden="false" customHeight="true" outlineLevel="0" collapsed="false">
      <c r="A11" s="16" t="s">
        <v>144</v>
      </c>
      <c r="B11" s="7" t="s">
        <v>145</v>
      </c>
      <c r="C11" s="16" t="n">
        <v>1</v>
      </c>
      <c r="D11" s="16" t="s">
        <v>120</v>
      </c>
      <c r="E11" s="16" t="s">
        <v>13</v>
      </c>
      <c r="F11" s="7" t="s">
        <v>130</v>
      </c>
      <c r="G11" s="16" t="s">
        <v>123</v>
      </c>
      <c r="H11" s="7" t="s">
        <v>146</v>
      </c>
    </row>
    <row r="12" customFormat="false" ht="14.25" hidden="false" customHeight="true" outlineLevel="0" collapsed="false">
      <c r="A12" s="16" t="s">
        <v>147</v>
      </c>
      <c r="B12" s="7" t="s">
        <v>148</v>
      </c>
      <c r="C12" s="16" t="n">
        <v>5</v>
      </c>
      <c r="D12" s="16" t="s">
        <v>120</v>
      </c>
      <c r="E12" s="16" t="s">
        <v>16</v>
      </c>
      <c r="F12" s="7" t="s">
        <v>130</v>
      </c>
      <c r="G12" s="16" t="s">
        <v>123</v>
      </c>
      <c r="H12" s="7" t="s">
        <v>149</v>
      </c>
    </row>
    <row r="13" customFormat="false" ht="14.25" hidden="false" customHeight="true" outlineLevel="0" collapsed="false">
      <c r="A13" s="16" t="s">
        <v>150</v>
      </c>
      <c r="B13" s="7" t="s">
        <v>151</v>
      </c>
      <c r="C13" s="16" t="n">
        <v>3</v>
      </c>
      <c r="D13" s="16" t="s">
        <v>120</v>
      </c>
      <c r="E13" s="16" t="s">
        <v>16</v>
      </c>
      <c r="F13" s="7" t="s">
        <v>130</v>
      </c>
      <c r="G13" s="16" t="s">
        <v>135</v>
      </c>
      <c r="H13" s="7" t="s">
        <v>152</v>
      </c>
    </row>
    <row r="14" customFormat="false" ht="14.25" hidden="false" customHeight="true" outlineLevel="0" collapsed="false">
      <c r="A14" s="16" t="s">
        <v>153</v>
      </c>
      <c r="B14" s="7" t="s">
        <v>154</v>
      </c>
      <c r="C14" s="16" t="n">
        <v>3</v>
      </c>
      <c r="D14" s="16" t="s">
        <v>134</v>
      </c>
      <c r="E14" s="16" t="s">
        <v>16</v>
      </c>
      <c r="F14" s="7" t="s">
        <v>130</v>
      </c>
      <c r="G14" s="16" t="s">
        <v>135</v>
      </c>
      <c r="H14" s="7" t="s">
        <v>155</v>
      </c>
    </row>
    <row r="15" customFormat="false" ht="14.25" hidden="false" customHeight="true" outlineLevel="0" collapsed="false">
      <c r="A15" s="14" t="s">
        <v>156</v>
      </c>
      <c r="B15" s="15"/>
      <c r="C15" s="15"/>
      <c r="D15" s="15"/>
      <c r="E15" s="15"/>
      <c r="F15" s="15"/>
      <c r="G15" s="15"/>
      <c r="H15" s="15"/>
    </row>
    <row r="16" customFormat="false" ht="14.25" hidden="false" customHeight="true" outlineLevel="0" collapsed="false">
      <c r="A16" s="16" t="s">
        <v>157</v>
      </c>
      <c r="B16" s="7" t="s">
        <v>158</v>
      </c>
      <c r="C16" s="16" t="n">
        <v>3</v>
      </c>
      <c r="D16" s="16" t="s">
        <v>120</v>
      </c>
      <c r="E16" s="16" t="s">
        <v>22</v>
      </c>
      <c r="F16" s="7" t="s">
        <v>122</v>
      </c>
      <c r="G16" s="16" t="s">
        <v>123</v>
      </c>
      <c r="H16" s="7" t="s">
        <v>159</v>
      </c>
    </row>
    <row r="17" customFormat="false" ht="14.25" hidden="false" customHeight="true" outlineLevel="0" collapsed="false">
      <c r="A17" s="16" t="s">
        <v>160</v>
      </c>
      <c r="B17" s="7" t="s">
        <v>161</v>
      </c>
      <c r="C17" s="16" t="n">
        <v>3</v>
      </c>
      <c r="D17" s="16" t="s">
        <v>134</v>
      </c>
      <c r="E17" s="16" t="s">
        <v>22</v>
      </c>
      <c r="F17" s="7" t="s">
        <v>122</v>
      </c>
      <c r="G17" s="16" t="s">
        <v>135</v>
      </c>
      <c r="H17" s="7" t="s">
        <v>162</v>
      </c>
    </row>
    <row r="18" customFormat="false" ht="14.25" hidden="false" customHeight="true" outlineLevel="0" collapsed="false">
      <c r="A18" s="16" t="s">
        <v>163</v>
      </c>
      <c r="B18" s="7" t="s">
        <v>164</v>
      </c>
      <c r="C18" s="16" t="n">
        <v>3</v>
      </c>
      <c r="D18" s="16" t="s">
        <v>120</v>
      </c>
      <c r="E18" s="16" t="s">
        <v>25</v>
      </c>
      <c r="F18" s="7" t="s">
        <v>122</v>
      </c>
      <c r="G18" s="16" t="s">
        <v>123</v>
      </c>
      <c r="H18" s="7" t="s">
        <v>165</v>
      </c>
    </row>
    <row r="19" customFormat="false" ht="14.25" hidden="false" customHeight="true" outlineLevel="0" collapsed="false">
      <c r="A19" s="16" t="s">
        <v>166</v>
      </c>
      <c r="B19" s="7" t="s">
        <v>167</v>
      </c>
      <c r="C19" s="16" t="n">
        <v>5</v>
      </c>
      <c r="D19" s="16" t="s">
        <v>120</v>
      </c>
      <c r="E19" s="16" t="s">
        <v>25</v>
      </c>
      <c r="F19" s="7" t="s">
        <v>122</v>
      </c>
      <c r="G19" s="16" t="s">
        <v>123</v>
      </c>
      <c r="H19" s="7" t="s">
        <v>168</v>
      </c>
    </row>
    <row r="20" customFormat="false" ht="14.25" hidden="false" customHeight="true" outlineLevel="0" collapsed="false">
      <c r="A20" s="16" t="s">
        <v>169</v>
      </c>
      <c r="B20" s="7" t="s">
        <v>170</v>
      </c>
      <c r="C20" s="16" t="n">
        <v>2</v>
      </c>
      <c r="D20" s="16" t="s">
        <v>134</v>
      </c>
      <c r="E20" s="16" t="s">
        <v>64</v>
      </c>
      <c r="F20" s="7" t="s">
        <v>171</v>
      </c>
      <c r="G20" s="16" t="s">
        <v>135</v>
      </c>
      <c r="H20" s="7" t="s">
        <v>172</v>
      </c>
    </row>
    <row r="21" customFormat="false" ht="14.25" hidden="false" customHeight="true" outlineLevel="0" collapsed="false">
      <c r="A21" s="14" t="s">
        <v>173</v>
      </c>
      <c r="B21" s="15"/>
      <c r="C21" s="15"/>
      <c r="D21" s="15"/>
      <c r="E21" s="15"/>
      <c r="F21" s="15"/>
      <c r="G21" s="15"/>
      <c r="H21" s="15"/>
    </row>
    <row r="22" customFormat="false" ht="26.25" hidden="false" customHeight="true" outlineLevel="0" collapsed="false">
      <c r="A22" s="16" t="s">
        <v>174</v>
      </c>
      <c r="B22" s="7" t="s">
        <v>175</v>
      </c>
      <c r="C22" s="16" t="n">
        <v>5</v>
      </c>
      <c r="D22" s="16" t="s">
        <v>120</v>
      </c>
      <c r="E22" s="16" t="s">
        <v>19</v>
      </c>
      <c r="F22" s="7" t="s">
        <v>130</v>
      </c>
      <c r="G22" s="16" t="s">
        <v>135</v>
      </c>
      <c r="H22" s="7" t="s">
        <v>176</v>
      </c>
    </row>
    <row r="23" customFormat="false" ht="14.25" hidden="false" customHeight="true" outlineLevel="0" collapsed="false">
      <c r="A23" s="16" t="s">
        <v>177</v>
      </c>
      <c r="B23" s="7" t="s">
        <v>178</v>
      </c>
      <c r="C23" s="16" t="n">
        <v>2</v>
      </c>
      <c r="D23" s="16" t="s">
        <v>120</v>
      </c>
      <c r="E23" s="16" t="s">
        <v>19</v>
      </c>
      <c r="F23" s="7" t="s">
        <v>130</v>
      </c>
      <c r="G23" s="16" t="s">
        <v>135</v>
      </c>
      <c r="H23" s="7" t="s">
        <v>179</v>
      </c>
    </row>
    <row r="24" customFormat="false" ht="26.25" hidden="false" customHeight="true" outlineLevel="0" collapsed="false">
      <c r="A24" s="16" t="s">
        <v>180</v>
      </c>
      <c r="B24" s="7" t="s">
        <v>181</v>
      </c>
      <c r="C24" s="16" t="n">
        <v>5</v>
      </c>
      <c r="D24" s="16" t="s">
        <v>120</v>
      </c>
      <c r="E24" s="16" t="s">
        <v>28</v>
      </c>
      <c r="F24" s="7" t="s">
        <v>130</v>
      </c>
      <c r="G24" s="16" t="s">
        <v>135</v>
      </c>
      <c r="H24" s="7" t="s">
        <v>182</v>
      </c>
    </row>
    <row r="25" customFormat="false" ht="14.25" hidden="false" customHeight="true" outlineLevel="0" collapsed="false">
      <c r="A25" s="14" t="s">
        <v>183</v>
      </c>
      <c r="B25" s="15"/>
      <c r="C25" s="15"/>
      <c r="D25" s="15"/>
      <c r="E25" s="15"/>
      <c r="F25" s="15"/>
      <c r="G25" s="15"/>
      <c r="H25" s="15"/>
    </row>
    <row r="26" customFormat="false" ht="14.25" hidden="false" customHeight="true" outlineLevel="0" collapsed="false">
      <c r="A26" s="16" t="s">
        <v>184</v>
      </c>
      <c r="B26" s="7" t="s">
        <v>185</v>
      </c>
      <c r="C26" s="16" t="n">
        <v>8</v>
      </c>
      <c r="D26" s="16" t="s">
        <v>120</v>
      </c>
      <c r="E26" s="16" t="s">
        <v>31</v>
      </c>
      <c r="F26" s="7" t="s">
        <v>122</v>
      </c>
      <c r="G26" s="16" t="s">
        <v>186</v>
      </c>
      <c r="H26" s="7" t="s">
        <v>187</v>
      </c>
    </row>
    <row r="27" customFormat="false" ht="14.25" hidden="false" customHeight="true" outlineLevel="0" collapsed="false">
      <c r="A27" s="16" t="s">
        <v>188</v>
      </c>
      <c r="B27" s="7" t="s">
        <v>189</v>
      </c>
      <c r="C27" s="16" t="n">
        <v>3</v>
      </c>
      <c r="D27" s="16" t="s">
        <v>120</v>
      </c>
      <c r="E27" s="16" t="s">
        <v>31</v>
      </c>
      <c r="F27" s="7" t="s">
        <v>122</v>
      </c>
      <c r="G27" s="16" t="s">
        <v>186</v>
      </c>
      <c r="H27" s="7" t="s">
        <v>190</v>
      </c>
    </row>
    <row r="28" customFormat="false" ht="14.25" hidden="false" customHeight="true" outlineLevel="0" collapsed="false">
      <c r="A28" s="16" t="s">
        <v>191</v>
      </c>
      <c r="B28" s="7" t="s">
        <v>192</v>
      </c>
      <c r="C28" s="16" t="n">
        <v>5</v>
      </c>
      <c r="D28" s="16" t="s">
        <v>120</v>
      </c>
      <c r="E28" s="16" t="s">
        <v>34</v>
      </c>
      <c r="F28" s="7" t="s">
        <v>122</v>
      </c>
      <c r="G28" s="16" t="s">
        <v>186</v>
      </c>
      <c r="H28" s="7" t="s">
        <v>193</v>
      </c>
    </row>
    <row r="29" customFormat="false" ht="14.25" hidden="false" customHeight="true" outlineLevel="0" collapsed="false">
      <c r="A29" s="16" t="s">
        <v>194</v>
      </c>
      <c r="B29" s="7" t="s">
        <v>195</v>
      </c>
      <c r="C29" s="16" t="n">
        <v>8</v>
      </c>
      <c r="D29" s="16" t="s">
        <v>120</v>
      </c>
      <c r="E29" s="16" t="s">
        <v>37</v>
      </c>
      <c r="F29" s="7" t="s">
        <v>122</v>
      </c>
      <c r="G29" s="16" t="s">
        <v>135</v>
      </c>
      <c r="H29" s="7" t="s">
        <v>196</v>
      </c>
    </row>
    <row r="30" customFormat="false" ht="14.25" hidden="false" customHeight="true" outlineLevel="0" collapsed="false">
      <c r="A30" s="16" t="s">
        <v>197</v>
      </c>
      <c r="B30" s="7" t="s">
        <v>198</v>
      </c>
      <c r="C30" s="16" t="n">
        <v>3</v>
      </c>
      <c r="D30" s="16" t="s">
        <v>120</v>
      </c>
      <c r="E30" s="16" t="s">
        <v>40</v>
      </c>
      <c r="F30" s="7" t="s">
        <v>171</v>
      </c>
      <c r="G30" s="16" t="s">
        <v>186</v>
      </c>
      <c r="H30" s="7" t="s">
        <v>199</v>
      </c>
    </row>
    <row r="31" customFormat="false" ht="14.25" hidden="false" customHeight="true" outlineLevel="0" collapsed="false">
      <c r="A31" s="16" t="s">
        <v>200</v>
      </c>
      <c r="B31" s="7" t="s">
        <v>201</v>
      </c>
      <c r="C31" s="16" t="n">
        <v>5</v>
      </c>
      <c r="D31" s="16" t="s">
        <v>134</v>
      </c>
      <c r="E31" s="16" t="s">
        <v>40</v>
      </c>
      <c r="F31" s="7" t="s">
        <v>130</v>
      </c>
      <c r="G31" s="16" t="s">
        <v>186</v>
      </c>
      <c r="H31" s="7" t="s">
        <v>202</v>
      </c>
    </row>
    <row r="32" customFormat="false" ht="14.25" hidden="false" customHeight="true" outlineLevel="0" collapsed="false">
      <c r="A32" s="16" t="s">
        <v>203</v>
      </c>
      <c r="B32" s="7" t="s">
        <v>204</v>
      </c>
      <c r="C32" s="16" t="n">
        <v>3</v>
      </c>
      <c r="D32" s="16" t="s">
        <v>120</v>
      </c>
      <c r="E32" s="16" t="s">
        <v>40</v>
      </c>
      <c r="F32" s="7" t="s">
        <v>122</v>
      </c>
      <c r="G32" s="16" t="s">
        <v>186</v>
      </c>
      <c r="H32" s="7" t="s">
        <v>205</v>
      </c>
    </row>
    <row r="33" customFormat="false" ht="14.25" hidden="false" customHeight="true" outlineLevel="0" collapsed="false">
      <c r="A33" s="14" t="s">
        <v>206</v>
      </c>
      <c r="B33" s="15"/>
      <c r="C33" s="15"/>
      <c r="D33" s="15"/>
      <c r="E33" s="15"/>
      <c r="F33" s="15"/>
      <c r="G33" s="15"/>
      <c r="H33" s="15"/>
    </row>
    <row r="34" customFormat="false" ht="14.25" hidden="false" customHeight="true" outlineLevel="0" collapsed="false">
      <c r="A34" s="16" t="s">
        <v>207</v>
      </c>
      <c r="B34" s="7" t="s">
        <v>208</v>
      </c>
      <c r="C34" s="16" t="n">
        <v>5</v>
      </c>
      <c r="D34" s="16" t="s">
        <v>120</v>
      </c>
      <c r="E34" s="16" t="s">
        <v>43</v>
      </c>
      <c r="F34" s="7" t="s">
        <v>122</v>
      </c>
      <c r="G34" s="16" t="s">
        <v>186</v>
      </c>
      <c r="H34" s="7" t="s">
        <v>209</v>
      </c>
    </row>
    <row r="35" customFormat="false" ht="14.25" hidden="false" customHeight="true" outlineLevel="0" collapsed="false">
      <c r="A35" s="16" t="s">
        <v>210</v>
      </c>
      <c r="B35" s="7" t="s">
        <v>211</v>
      </c>
      <c r="C35" s="16" t="n">
        <v>2</v>
      </c>
      <c r="D35" s="16" t="s">
        <v>120</v>
      </c>
      <c r="E35" s="16" t="s">
        <v>43</v>
      </c>
      <c r="F35" s="7" t="s">
        <v>122</v>
      </c>
      <c r="G35" s="16" t="s">
        <v>186</v>
      </c>
      <c r="H35" s="7" t="s">
        <v>212</v>
      </c>
    </row>
    <row r="36" customFormat="false" ht="14.25" hidden="false" customHeight="true" outlineLevel="0" collapsed="false">
      <c r="A36" s="16" t="s">
        <v>213</v>
      </c>
      <c r="B36" s="7" t="s">
        <v>214</v>
      </c>
      <c r="C36" s="16" t="n">
        <v>2</v>
      </c>
      <c r="D36" s="16" t="s">
        <v>120</v>
      </c>
      <c r="E36" s="16" t="s">
        <v>46</v>
      </c>
      <c r="F36" s="7" t="s">
        <v>122</v>
      </c>
      <c r="G36" s="16" t="s">
        <v>215</v>
      </c>
      <c r="H36" s="7"/>
    </row>
    <row r="37" customFormat="false" ht="14.25" hidden="false" customHeight="true" outlineLevel="0" collapsed="false">
      <c r="A37" s="16" t="s">
        <v>216</v>
      </c>
      <c r="B37" s="7" t="s">
        <v>217</v>
      </c>
      <c r="C37" s="16" t="n">
        <v>5</v>
      </c>
      <c r="D37" s="16" t="s">
        <v>134</v>
      </c>
      <c r="E37" s="16" t="s">
        <v>46</v>
      </c>
      <c r="F37" s="7" t="s">
        <v>122</v>
      </c>
      <c r="G37" s="16" t="s">
        <v>215</v>
      </c>
      <c r="H37" s="7" t="s">
        <v>218</v>
      </c>
    </row>
    <row r="38" customFormat="false" ht="14.25" hidden="false" customHeight="true" outlineLevel="0" collapsed="false">
      <c r="A38" s="14" t="s">
        <v>219</v>
      </c>
      <c r="B38" s="15"/>
      <c r="C38" s="15"/>
      <c r="D38" s="15"/>
      <c r="E38" s="15"/>
      <c r="F38" s="15"/>
      <c r="G38" s="15"/>
      <c r="H38" s="15"/>
    </row>
    <row r="39" customFormat="false" ht="14.25" hidden="false" customHeight="true" outlineLevel="0" collapsed="false">
      <c r="A39" s="16" t="s">
        <v>220</v>
      </c>
      <c r="B39" s="7" t="s">
        <v>221</v>
      </c>
      <c r="C39" s="16" t="n">
        <v>5</v>
      </c>
      <c r="D39" s="16" t="s">
        <v>120</v>
      </c>
      <c r="E39" s="16" t="s">
        <v>49</v>
      </c>
      <c r="F39" s="7" t="s">
        <v>122</v>
      </c>
      <c r="G39" s="16" t="s">
        <v>215</v>
      </c>
      <c r="H39" s="7" t="s">
        <v>222</v>
      </c>
    </row>
    <row r="40" customFormat="false" ht="14.25" hidden="false" customHeight="true" outlineLevel="0" collapsed="false">
      <c r="A40" s="16" t="s">
        <v>223</v>
      </c>
      <c r="B40" s="7" t="s">
        <v>224</v>
      </c>
      <c r="C40" s="16" t="n">
        <v>2</v>
      </c>
      <c r="D40" s="16" t="s">
        <v>134</v>
      </c>
      <c r="E40" s="16" t="s">
        <v>52</v>
      </c>
      <c r="F40" s="7" t="s">
        <v>122</v>
      </c>
      <c r="G40" s="16" t="s">
        <v>215</v>
      </c>
      <c r="H40" s="7"/>
    </row>
    <row r="41" customFormat="false" ht="14.25" hidden="false" customHeight="true" outlineLevel="0" collapsed="false">
      <c r="A41" s="16" t="s">
        <v>225</v>
      </c>
      <c r="B41" s="7" t="s">
        <v>226</v>
      </c>
      <c r="C41" s="16" t="n">
        <v>3</v>
      </c>
      <c r="D41" s="16" t="s">
        <v>120</v>
      </c>
      <c r="E41" s="16" t="s">
        <v>52</v>
      </c>
      <c r="F41" s="7" t="s">
        <v>130</v>
      </c>
      <c r="G41" s="16" t="s">
        <v>215</v>
      </c>
      <c r="H41" s="7"/>
    </row>
    <row r="42" customFormat="false" ht="14.25" hidden="false" customHeight="true" outlineLevel="0" collapsed="false">
      <c r="A42" s="14" t="s">
        <v>227</v>
      </c>
      <c r="B42" s="15"/>
      <c r="C42" s="15"/>
      <c r="D42" s="15"/>
      <c r="E42" s="15"/>
      <c r="F42" s="15"/>
      <c r="G42" s="15"/>
      <c r="H42" s="15"/>
    </row>
    <row r="43" customFormat="false" ht="14.25" hidden="false" customHeight="true" outlineLevel="0" collapsed="false">
      <c r="A43" s="16" t="s">
        <v>228</v>
      </c>
      <c r="B43" s="7" t="s">
        <v>229</v>
      </c>
      <c r="C43" s="16" t="n">
        <v>3</v>
      </c>
      <c r="D43" s="16" t="s">
        <v>120</v>
      </c>
      <c r="E43" s="16" t="s">
        <v>55</v>
      </c>
      <c r="F43" s="7" t="s">
        <v>130</v>
      </c>
      <c r="G43" s="16" t="s">
        <v>215</v>
      </c>
      <c r="H43" s="7" t="s">
        <v>230</v>
      </c>
    </row>
    <row r="44" customFormat="false" ht="14.25" hidden="false" customHeight="true" outlineLevel="0" collapsed="false">
      <c r="A44" s="16" t="s">
        <v>231</v>
      </c>
      <c r="B44" s="7" t="s">
        <v>232</v>
      </c>
      <c r="C44" s="16" t="n">
        <v>2</v>
      </c>
      <c r="D44" s="16" t="s">
        <v>120</v>
      </c>
      <c r="E44" s="16" t="s">
        <v>55</v>
      </c>
      <c r="F44" s="7" t="s">
        <v>130</v>
      </c>
      <c r="G44" s="16" t="s">
        <v>215</v>
      </c>
      <c r="H44" s="7" t="s">
        <v>233</v>
      </c>
    </row>
    <row r="45" customFormat="false" ht="14.25" hidden="false" customHeight="true" outlineLevel="0" collapsed="false">
      <c r="A45" s="14" t="s">
        <v>234</v>
      </c>
      <c r="B45" s="15"/>
      <c r="C45" s="15"/>
      <c r="D45" s="15"/>
      <c r="E45" s="15"/>
      <c r="F45" s="15"/>
      <c r="G45" s="15"/>
      <c r="H45" s="15"/>
    </row>
    <row r="46" customFormat="false" ht="26.25" hidden="false" customHeight="true" outlineLevel="0" collapsed="false">
      <c r="A46" s="16" t="s">
        <v>235</v>
      </c>
      <c r="B46" s="7" t="s">
        <v>236</v>
      </c>
      <c r="C46" s="16" t="n">
        <v>5</v>
      </c>
      <c r="D46" s="16" t="s">
        <v>120</v>
      </c>
      <c r="E46" s="16" t="s">
        <v>58</v>
      </c>
      <c r="F46" s="7" t="s">
        <v>130</v>
      </c>
      <c r="G46" s="16" t="s">
        <v>237</v>
      </c>
      <c r="H46" s="7" t="s">
        <v>238</v>
      </c>
    </row>
    <row r="47" customFormat="false" ht="14.25" hidden="false" customHeight="true" outlineLevel="0" collapsed="false">
      <c r="A47" s="16" t="s">
        <v>239</v>
      </c>
      <c r="B47" s="7" t="s">
        <v>240</v>
      </c>
      <c r="C47" s="16" t="n">
        <v>5</v>
      </c>
      <c r="D47" s="16" t="s">
        <v>120</v>
      </c>
      <c r="E47" s="16" t="s">
        <v>61</v>
      </c>
      <c r="F47" s="7" t="s">
        <v>130</v>
      </c>
      <c r="G47" s="16" t="s">
        <v>237</v>
      </c>
      <c r="H47" s="7" t="s">
        <v>241</v>
      </c>
    </row>
    <row r="48" customFormat="false" ht="26.25" hidden="false" customHeight="true" outlineLevel="0" collapsed="false">
      <c r="A48" s="16" t="s">
        <v>242</v>
      </c>
      <c r="B48" s="7" t="s">
        <v>243</v>
      </c>
      <c r="C48" s="16" t="n">
        <v>5</v>
      </c>
      <c r="D48" s="16" t="s">
        <v>120</v>
      </c>
      <c r="E48" s="16" t="s">
        <v>64</v>
      </c>
      <c r="F48" s="7" t="s">
        <v>130</v>
      </c>
      <c r="G48" s="16" t="s">
        <v>237</v>
      </c>
      <c r="H48" s="7"/>
    </row>
    <row r="49" customFormat="false" ht="14.25" hidden="false" customHeight="true" outlineLevel="0" collapsed="false">
      <c r="A49" s="14" t="s">
        <v>244</v>
      </c>
      <c r="B49" s="15"/>
      <c r="C49" s="15"/>
      <c r="D49" s="15"/>
      <c r="E49" s="15"/>
      <c r="F49" s="15"/>
      <c r="G49" s="15"/>
      <c r="H49" s="15"/>
    </row>
    <row r="50" customFormat="false" ht="14.25" hidden="false" customHeight="true" outlineLevel="0" collapsed="false">
      <c r="A50" s="16" t="s">
        <v>245</v>
      </c>
      <c r="B50" s="7" t="s">
        <v>246</v>
      </c>
      <c r="C50" s="16" t="n">
        <v>3</v>
      </c>
      <c r="D50" s="16" t="s">
        <v>120</v>
      </c>
      <c r="E50" s="16" t="s">
        <v>121</v>
      </c>
      <c r="F50" s="7" t="s">
        <v>171</v>
      </c>
      <c r="G50" s="16" t="s">
        <v>247</v>
      </c>
      <c r="H50" s="7" t="s">
        <v>248</v>
      </c>
    </row>
    <row r="51" customFormat="false" ht="14.25" hidden="false" customHeight="true" outlineLevel="0" collapsed="false">
      <c r="A51" s="16" t="s">
        <v>249</v>
      </c>
      <c r="B51" s="7" t="s">
        <v>250</v>
      </c>
      <c r="C51" s="16" t="n">
        <v>3</v>
      </c>
      <c r="D51" s="16" t="s">
        <v>120</v>
      </c>
      <c r="E51" s="16" t="s">
        <v>121</v>
      </c>
      <c r="F51" s="7" t="s">
        <v>171</v>
      </c>
      <c r="G51" s="16" t="s">
        <v>247</v>
      </c>
      <c r="H51" s="7" t="s">
        <v>251</v>
      </c>
    </row>
    <row r="52" customFormat="false" ht="14.25" hidden="false" customHeight="true" outlineLevel="0" collapsed="false">
      <c r="A52" s="16" t="s">
        <v>252</v>
      </c>
      <c r="B52" s="7" t="s">
        <v>253</v>
      </c>
      <c r="C52" s="16" t="n">
        <v>3</v>
      </c>
      <c r="D52" s="16" t="s">
        <v>120</v>
      </c>
      <c r="E52" s="16" t="s">
        <v>121</v>
      </c>
      <c r="F52" s="7" t="s">
        <v>254</v>
      </c>
      <c r="G52" s="16" t="s">
        <v>247</v>
      </c>
      <c r="H52" s="7" t="s">
        <v>255</v>
      </c>
    </row>
    <row r="53" customFormat="false" ht="14.25" hidden="false" customHeight="true" outlineLevel="0" collapsed="false">
      <c r="A53" s="16" t="s">
        <v>256</v>
      </c>
      <c r="B53" s="7" t="s">
        <v>257</v>
      </c>
      <c r="C53" s="16" t="n">
        <v>5</v>
      </c>
      <c r="D53" s="16" t="s">
        <v>258</v>
      </c>
      <c r="E53" s="16" t="s">
        <v>43</v>
      </c>
      <c r="F53" s="7" t="s">
        <v>259</v>
      </c>
      <c r="G53" s="16" t="s">
        <v>237</v>
      </c>
      <c r="H53" s="7" t="s">
        <v>260</v>
      </c>
    </row>
    <row r="54" customFormat="false" ht="14.25" hidden="false" customHeight="true" outlineLevel="0" collapsed="false">
      <c r="A54" s="16" t="s">
        <v>261</v>
      </c>
      <c r="B54" s="7" t="s">
        <v>262</v>
      </c>
      <c r="C54" s="16" t="n">
        <v>5</v>
      </c>
      <c r="D54" s="16" t="s">
        <v>120</v>
      </c>
      <c r="E54" s="16" t="s">
        <v>121</v>
      </c>
      <c r="F54" s="7" t="s">
        <v>122</v>
      </c>
      <c r="G54" s="16" t="s">
        <v>237</v>
      </c>
      <c r="H54" s="7"/>
    </row>
    <row r="55" customFormat="false" ht="14.25" hidden="false" customHeight="true" outlineLevel="0" collapsed="false">
      <c r="A55" s="14" t="s">
        <v>263</v>
      </c>
      <c r="B55" s="15"/>
      <c r="C55" s="15"/>
      <c r="D55" s="15"/>
      <c r="E55" s="15"/>
      <c r="F55" s="15"/>
      <c r="G55" s="15"/>
      <c r="H55" s="15"/>
    </row>
    <row r="56" customFormat="false" ht="26.25" hidden="false" customHeight="true" outlineLevel="0" collapsed="false">
      <c r="A56" s="16" t="s">
        <v>264</v>
      </c>
      <c r="B56" s="7" t="s">
        <v>265</v>
      </c>
      <c r="C56" s="16" t="n">
        <v>3</v>
      </c>
      <c r="D56" s="16" t="s">
        <v>120</v>
      </c>
      <c r="E56" s="16" t="s">
        <v>266</v>
      </c>
      <c r="F56" s="7" t="s">
        <v>122</v>
      </c>
      <c r="G56" s="16" t="s">
        <v>215</v>
      </c>
      <c r="H56" s="7" t="s">
        <v>267</v>
      </c>
    </row>
    <row r="57" customFormat="false" ht="26.25" hidden="false" customHeight="true" outlineLevel="0" collapsed="false">
      <c r="A57" s="16" t="s">
        <v>268</v>
      </c>
      <c r="B57" s="7" t="s">
        <v>269</v>
      </c>
      <c r="C57" s="16" t="n">
        <v>5</v>
      </c>
      <c r="D57" s="16" t="s">
        <v>120</v>
      </c>
      <c r="E57" s="16" t="s">
        <v>266</v>
      </c>
      <c r="F57" s="7" t="s">
        <v>270</v>
      </c>
      <c r="G57" s="16" t="s">
        <v>215</v>
      </c>
      <c r="H57" s="7" t="s">
        <v>271</v>
      </c>
    </row>
    <row r="58" customFormat="false" ht="26.25" hidden="false" customHeight="true" outlineLevel="0" collapsed="false">
      <c r="A58" s="16" t="s">
        <v>272</v>
      </c>
      <c r="B58" s="7" t="s">
        <v>273</v>
      </c>
      <c r="C58" s="16" t="n">
        <v>5</v>
      </c>
      <c r="D58" s="16" t="s">
        <v>134</v>
      </c>
      <c r="E58" s="16" t="s">
        <v>266</v>
      </c>
      <c r="F58" s="7" t="s">
        <v>122</v>
      </c>
      <c r="G58" s="16" t="s">
        <v>186</v>
      </c>
      <c r="H58" s="7" t="s">
        <v>274</v>
      </c>
    </row>
    <row r="59" customFormat="false" ht="26.25" hidden="false" customHeight="true" outlineLevel="0" collapsed="false">
      <c r="A59" s="16" t="s">
        <v>275</v>
      </c>
      <c r="B59" s="7" t="s">
        <v>276</v>
      </c>
      <c r="C59" s="16" t="n">
        <v>3</v>
      </c>
      <c r="D59" s="16" t="s">
        <v>134</v>
      </c>
      <c r="E59" s="16" t="s">
        <v>266</v>
      </c>
      <c r="F59" s="7" t="s">
        <v>130</v>
      </c>
      <c r="G59" s="16" t="s">
        <v>215</v>
      </c>
      <c r="H59" s="7" t="s">
        <v>277</v>
      </c>
    </row>
    <row r="60" customFormat="false" ht="14.25" hidden="false" customHeight="true" outlineLevel="0" collapsed="false">
      <c r="A60" s="16" t="s">
        <v>278</v>
      </c>
      <c r="B60" s="7" t="s">
        <v>279</v>
      </c>
      <c r="C60" s="16" t="n">
        <v>5</v>
      </c>
      <c r="D60" s="16" t="s">
        <v>134</v>
      </c>
      <c r="E60" s="16" t="s">
        <v>266</v>
      </c>
      <c r="F60" s="7" t="s">
        <v>280</v>
      </c>
      <c r="G60" s="16" t="s">
        <v>237</v>
      </c>
      <c r="H60" s="7" t="s">
        <v>281</v>
      </c>
    </row>
    <row r="61" customFormat="false" ht="26.25" hidden="false" customHeight="true" outlineLevel="0" collapsed="false">
      <c r="A61" s="16" t="s">
        <v>282</v>
      </c>
      <c r="B61" s="7" t="s">
        <v>283</v>
      </c>
      <c r="C61" s="16" t="n">
        <v>3</v>
      </c>
      <c r="D61" s="16" t="s">
        <v>134</v>
      </c>
      <c r="E61" s="16" t="s">
        <v>266</v>
      </c>
      <c r="F61" s="7" t="s">
        <v>254</v>
      </c>
      <c r="G61" s="16" t="s">
        <v>237</v>
      </c>
      <c r="H61" s="7" t="s">
        <v>284</v>
      </c>
    </row>
    <row r="62" customFormat="false" ht="26.25" hidden="false" customHeight="true" outlineLevel="0" collapsed="false">
      <c r="A62" s="16" t="s">
        <v>285</v>
      </c>
      <c r="B62" s="7" t="s">
        <v>286</v>
      </c>
      <c r="C62" s="16" t="n">
        <v>5</v>
      </c>
      <c r="D62" s="16" t="s">
        <v>134</v>
      </c>
      <c r="E62" s="16" t="s">
        <v>266</v>
      </c>
      <c r="F62" s="7" t="s">
        <v>122</v>
      </c>
      <c r="G62" s="16" t="s">
        <v>237</v>
      </c>
      <c r="H62" s="7" t="s">
        <v>287</v>
      </c>
    </row>
    <row r="63" customFormat="false" ht="26.25" hidden="false" customHeight="true" outlineLevel="0" collapsed="false">
      <c r="A63" s="16" t="s">
        <v>288</v>
      </c>
      <c r="B63" s="7" t="s">
        <v>289</v>
      </c>
      <c r="C63" s="16" t="n">
        <v>5</v>
      </c>
      <c r="D63" s="16" t="s">
        <v>134</v>
      </c>
      <c r="E63" s="16" t="s">
        <v>266</v>
      </c>
      <c r="F63" s="7" t="s">
        <v>122</v>
      </c>
      <c r="G63" s="16" t="s">
        <v>237</v>
      </c>
      <c r="H63" s="7" t="s">
        <v>290</v>
      </c>
    </row>
    <row r="64" customFormat="false" ht="14.25" hidden="false" customHeight="true" outlineLevel="0" collapsed="false">
      <c r="A64" s="16" t="s">
        <v>291</v>
      </c>
      <c r="B64" s="7" t="s">
        <v>292</v>
      </c>
      <c r="C64" s="16" t="n">
        <v>3</v>
      </c>
      <c r="D64" s="16" t="s">
        <v>134</v>
      </c>
      <c r="E64" s="16" t="s">
        <v>266</v>
      </c>
      <c r="F64" s="7" t="s">
        <v>122</v>
      </c>
      <c r="G64" s="16" t="s">
        <v>215</v>
      </c>
      <c r="H64" s="7" t="s">
        <v>293</v>
      </c>
    </row>
    <row r="65" customFormat="false" ht="14.25" hidden="false" customHeight="true" outlineLevel="0" collapsed="false">
      <c r="A65" s="16" t="s">
        <v>294</v>
      </c>
      <c r="B65" s="7" t="s">
        <v>295</v>
      </c>
      <c r="C65" s="16" t="n">
        <v>2</v>
      </c>
      <c r="D65" s="16" t="s">
        <v>134</v>
      </c>
      <c r="E65" s="16" t="s">
        <v>266</v>
      </c>
      <c r="F65" s="7" t="s">
        <v>270</v>
      </c>
      <c r="G65" s="16" t="s">
        <v>237</v>
      </c>
      <c r="H65" s="7" t="s">
        <v>296</v>
      </c>
    </row>
    <row r="66" customFormat="false" ht="14.25" hidden="false" customHeight="true" outlineLevel="0" collapsed="false">
      <c r="A66" s="16" t="s">
        <v>297</v>
      </c>
      <c r="B66" s="7" t="s">
        <v>298</v>
      </c>
      <c r="C66" s="16" t="n">
        <v>2</v>
      </c>
      <c r="D66" s="16" t="s">
        <v>134</v>
      </c>
      <c r="E66" s="16" t="s">
        <v>266</v>
      </c>
      <c r="F66" s="7" t="s">
        <v>259</v>
      </c>
      <c r="G66" s="16" t="s">
        <v>237</v>
      </c>
      <c r="H66" s="7" t="s">
        <v>299</v>
      </c>
    </row>
    <row r="67" customFormat="false" ht="14.25" hidden="false" customHeight="true" outlineLevel="0" collapsed="false">
      <c r="A67" s="16" t="s">
        <v>300</v>
      </c>
      <c r="B67" s="7" t="s">
        <v>301</v>
      </c>
      <c r="C67" s="16" t="n">
        <v>2</v>
      </c>
      <c r="D67" s="16" t="s">
        <v>134</v>
      </c>
      <c r="E67" s="16" t="s">
        <v>266</v>
      </c>
      <c r="F67" s="7" t="s">
        <v>130</v>
      </c>
      <c r="G67" s="16" t="s">
        <v>237</v>
      </c>
      <c r="H67" s="7" t="s">
        <v>302</v>
      </c>
    </row>
    <row r="68" customFormat="false" ht="26.25" hidden="false" customHeight="true" outlineLevel="0" collapsed="false">
      <c r="A68" s="16" t="s">
        <v>303</v>
      </c>
      <c r="B68" s="7" t="s">
        <v>304</v>
      </c>
      <c r="C68" s="16" t="n">
        <v>5</v>
      </c>
      <c r="D68" s="16" t="s">
        <v>134</v>
      </c>
      <c r="E68" s="16" t="s">
        <v>266</v>
      </c>
      <c r="F68" s="7" t="s">
        <v>130</v>
      </c>
      <c r="G68" s="16" t="s">
        <v>237</v>
      </c>
      <c r="H68" s="7" t="s">
        <v>305</v>
      </c>
    </row>
    <row r="69" customFormat="false" ht="26.25" hidden="false" customHeight="true" outlineLevel="0" collapsed="false">
      <c r="A69" s="16" t="s">
        <v>306</v>
      </c>
      <c r="B69" s="7" t="s">
        <v>307</v>
      </c>
      <c r="C69" s="16" t="n">
        <v>3</v>
      </c>
      <c r="D69" s="16" t="s">
        <v>134</v>
      </c>
      <c r="E69" s="16" t="s">
        <v>266</v>
      </c>
      <c r="F69" s="7" t="s">
        <v>130</v>
      </c>
      <c r="G69" s="16" t="s">
        <v>237</v>
      </c>
      <c r="H69" s="7" t="s">
        <v>308</v>
      </c>
    </row>
    <row r="70" customFormat="false" ht="14.25" hidden="false" customHeight="true" outlineLevel="0" collapsed="false">
      <c r="A70" s="16" t="s">
        <v>309</v>
      </c>
      <c r="B70" s="7" t="s">
        <v>310</v>
      </c>
      <c r="C70" s="16" t="n">
        <v>5</v>
      </c>
      <c r="D70" s="16" t="s">
        <v>258</v>
      </c>
      <c r="E70" s="16" t="s">
        <v>266</v>
      </c>
      <c r="F70" s="7" t="s">
        <v>122</v>
      </c>
      <c r="G70" s="16" t="s">
        <v>237</v>
      </c>
      <c r="H70" s="7" t="s">
        <v>311</v>
      </c>
    </row>
    <row r="71" customFormat="false" ht="26.25" hidden="false" customHeight="true" outlineLevel="0" collapsed="false">
      <c r="A71" s="16" t="s">
        <v>312</v>
      </c>
      <c r="B71" s="7" t="s">
        <v>313</v>
      </c>
      <c r="C71" s="16" t="n">
        <v>8</v>
      </c>
      <c r="D71" s="16" t="s">
        <v>258</v>
      </c>
      <c r="E71" s="16" t="s">
        <v>266</v>
      </c>
      <c r="F71" s="7" t="s">
        <v>122</v>
      </c>
      <c r="G71" s="16" t="s">
        <v>237</v>
      </c>
      <c r="H71" s="7" t="s">
        <v>314</v>
      </c>
    </row>
    <row r="72" customFormat="false" ht="14.25" hidden="false" customHeight="true" outlineLevel="0" collapsed="false">
      <c r="A72" s="16" t="s">
        <v>315</v>
      </c>
      <c r="B72" s="7" t="s">
        <v>316</v>
      </c>
      <c r="C72" s="16" t="n">
        <v>3</v>
      </c>
      <c r="D72" s="16" t="s">
        <v>258</v>
      </c>
      <c r="E72" s="16" t="s">
        <v>266</v>
      </c>
      <c r="F72" s="7" t="s">
        <v>259</v>
      </c>
      <c r="G72" s="16" t="s">
        <v>237</v>
      </c>
      <c r="H72" s="7" t="s">
        <v>317</v>
      </c>
    </row>
    <row r="73" customFormat="false" ht="14.25" hidden="false" customHeight="true" outlineLevel="0" collapsed="false">
      <c r="A73" s="16" t="s">
        <v>318</v>
      </c>
      <c r="B73" s="7" t="s">
        <v>319</v>
      </c>
      <c r="C73" s="16" t="n">
        <v>3</v>
      </c>
      <c r="D73" s="16" t="s">
        <v>258</v>
      </c>
      <c r="E73" s="16" t="s">
        <v>266</v>
      </c>
      <c r="F73" s="7" t="s">
        <v>122</v>
      </c>
      <c r="G73" s="16" t="s">
        <v>237</v>
      </c>
      <c r="H73" s="7"/>
    </row>
    <row r="74" customFormat="false" ht="14.25" hidden="false" customHeight="true" outlineLevel="0" collapsed="false">
      <c r="A74" s="16" t="s">
        <v>320</v>
      </c>
      <c r="B74" s="7" t="s">
        <v>321</v>
      </c>
      <c r="C74" s="16" t="n">
        <v>5</v>
      </c>
      <c r="D74" s="16" t="s">
        <v>258</v>
      </c>
      <c r="E74" s="16" t="s">
        <v>266</v>
      </c>
      <c r="F74" s="7" t="s">
        <v>130</v>
      </c>
      <c r="G74" s="16" t="s">
        <v>237</v>
      </c>
      <c r="H74" s="7" t="s">
        <v>322</v>
      </c>
    </row>
    <row r="75" customFormat="false" ht="14.25" hidden="false" customHeight="true" outlineLevel="0" collapsed="false">
      <c r="A75" s="16" t="s">
        <v>323</v>
      </c>
      <c r="B75" s="7" t="s">
        <v>324</v>
      </c>
      <c r="C75" s="16" t="n">
        <v>3</v>
      </c>
      <c r="D75" s="16" t="s">
        <v>258</v>
      </c>
      <c r="E75" s="16" t="s">
        <v>266</v>
      </c>
      <c r="F75" s="7" t="s">
        <v>130</v>
      </c>
      <c r="G75" s="16" t="s">
        <v>237</v>
      </c>
      <c r="H75" s="7" t="s">
        <v>325</v>
      </c>
    </row>
    <row r="76" customFormat="false" ht="14.25" hidden="false" customHeight="true" outlineLevel="0" collapsed="false">
      <c r="A76" s="17"/>
      <c r="B76" s="18" t="s">
        <v>326</v>
      </c>
      <c r="C76" s="19" t="n">
        <f aca="false">SUM(C3:C75)</f>
        <v>236</v>
      </c>
      <c r="D76" s="17"/>
      <c r="E76" s="17"/>
      <c r="F76" s="17"/>
      <c r="G76" s="17"/>
      <c r="H76" s="17"/>
    </row>
    <row r="78" customFormat="false" ht="14.25" hidden="false" customHeight="true" outlineLevel="0" collapsed="false">
      <c r="B78" s="20" t="s">
        <v>327</v>
      </c>
    </row>
    <row r="79" customFormat="false" ht="14.25" hidden="false" customHeight="true" outlineLevel="0" collapsed="false">
      <c r="B79" s="21" t="s">
        <v>328</v>
      </c>
      <c r="C79" s="22" t="n">
        <f aca="false">SUMIF($G$3:$G$75,"Sprint 0",$C$3:$C$75)</f>
        <v>9</v>
      </c>
    </row>
    <row r="80" customFormat="false" ht="14.25" hidden="false" customHeight="true" outlineLevel="0" collapsed="false">
      <c r="B80" s="21" t="s">
        <v>329</v>
      </c>
      <c r="C80" s="22" t="n">
        <f aca="false">SUMIF($G$3:$G$75,"Sprint 1",$C$3:$C$75)</f>
        <v>35</v>
      </c>
    </row>
    <row r="81" customFormat="false" ht="14.25" hidden="false" customHeight="true" outlineLevel="0" collapsed="false">
      <c r="B81" s="21" t="s">
        <v>330</v>
      </c>
      <c r="C81" s="22" t="n">
        <f aca="false">SUMIF($G$3:$G$75,"Sprint 2",$C$3:$C$75)</f>
        <v>33</v>
      </c>
    </row>
    <row r="82" customFormat="false" ht="14.25" hidden="false" customHeight="true" outlineLevel="0" collapsed="false">
      <c r="B82" s="21" t="s">
        <v>331</v>
      </c>
      <c r="C82" s="22" t="n">
        <f aca="false">SUMIF($G$3:$G$75,"Sprint 3",$C$3:$C$75)</f>
        <v>39</v>
      </c>
    </row>
    <row r="83" customFormat="false" ht="14.25" hidden="false" customHeight="true" outlineLevel="0" collapsed="false">
      <c r="B83" s="21" t="s">
        <v>332</v>
      </c>
      <c r="C83" s="22" t="n">
        <f aca="false">SUMIF($G$3:$G$75,"Sprint 4",$C$3:$C$75)</f>
        <v>36</v>
      </c>
    </row>
    <row r="84" customFormat="false" ht="14.25" hidden="false" customHeight="true" outlineLevel="0" collapsed="false">
      <c r="B84" s="21" t="s">
        <v>333</v>
      </c>
      <c r="C84" s="22" t="n">
        <f aca="false">SUMIF($G$3:$G$75,"Sprint 5",$C$3:$C$75)</f>
        <v>84</v>
      </c>
    </row>
    <row r="85" customFormat="false" ht="14.25" hidden="false" customHeight="true" outlineLevel="0" collapsed="false">
      <c r="B85" s="21" t="s">
        <v>334</v>
      </c>
      <c r="C85" s="22" t="n">
        <f aca="false">SUM(C56:C75)</f>
        <v>78</v>
      </c>
    </row>
    <row r="86" customFormat="false" ht="14.25" hidden="false" customHeight="true" outlineLevel="0" collapsed="false"/>
    <row r="87" customFormat="false" ht="14.25" hidden="false" customHeight="true" outlineLevel="0" collapsed="false">
      <c r="B87" s="13" t="s">
        <v>335</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E67" activeCellId="0" sqref="E67"/>
    </sheetView>
  </sheetViews>
  <sheetFormatPr defaultColWidth="8.66796875" defaultRowHeight="14.25" zeroHeight="false" outlineLevelRow="0" outlineLevelCol="0"/>
  <cols>
    <col collapsed="false" customWidth="true" hidden="false" outlineLevel="0" max="1" min="1" style="1" width="10"/>
    <col collapsed="false" customWidth="true" hidden="false" outlineLevel="0" max="2" min="2" style="1" width="55"/>
    <col collapsed="false" customWidth="true" hidden="false" outlineLevel="0" max="3" min="3" style="1" width="8"/>
    <col collapsed="false" customWidth="true" hidden="false" outlineLevel="0" max="4" min="4" style="1" width="18"/>
    <col collapsed="false" customWidth="true" hidden="false" outlineLevel="0" max="6" min="5" style="1" width="12"/>
    <col collapsed="false" customWidth="true" hidden="false" outlineLevel="0" max="7" min="7" style="1" width="14"/>
    <col collapsed="false" customWidth="true" hidden="false" outlineLevel="0" max="8" min="8" style="1" width="12"/>
    <col collapsed="false" customWidth="true" hidden="false" outlineLevel="0" max="9" min="9" style="1" width="10"/>
    <col collapsed="false" customWidth="true" hidden="false" outlineLevel="0" max="10" min="10" style="1" width="55"/>
  </cols>
  <sheetData>
    <row r="1" customFormat="false" ht="17.25" hidden="false" customHeight="true" outlineLevel="0" collapsed="false">
      <c r="A1" s="2" t="s">
        <v>336</v>
      </c>
      <c r="B1" s="2"/>
      <c r="C1" s="2"/>
      <c r="D1" s="2"/>
      <c r="E1" s="2"/>
      <c r="F1" s="2"/>
      <c r="G1" s="2"/>
      <c r="H1" s="2"/>
      <c r="I1" s="2"/>
      <c r="J1" s="2"/>
    </row>
    <row r="2" customFormat="false" ht="14.25" hidden="false" customHeight="true" outlineLevel="0" collapsed="false">
      <c r="A2" s="5" t="s">
        <v>109</v>
      </c>
      <c r="B2" s="5" t="s">
        <v>110</v>
      </c>
      <c r="C2" s="5" t="s">
        <v>111</v>
      </c>
      <c r="D2" s="5" t="s">
        <v>337</v>
      </c>
      <c r="E2" s="5" t="s">
        <v>338</v>
      </c>
      <c r="F2" s="5" t="s">
        <v>339</v>
      </c>
      <c r="G2" s="5" t="s">
        <v>340</v>
      </c>
      <c r="H2" s="5" t="s">
        <v>341</v>
      </c>
      <c r="I2" s="5" t="s">
        <v>342</v>
      </c>
      <c r="J2" s="5" t="s">
        <v>343</v>
      </c>
    </row>
    <row r="3" customFormat="false" ht="14.25" hidden="false" customHeight="true" outlineLevel="0" collapsed="false">
      <c r="A3" s="23" t="s">
        <v>344</v>
      </c>
      <c r="B3" s="24"/>
      <c r="C3" s="24"/>
      <c r="D3" s="24"/>
      <c r="E3" s="24"/>
      <c r="F3" s="24"/>
      <c r="G3" s="24"/>
      <c r="H3" s="24"/>
      <c r="I3" s="24"/>
      <c r="J3" s="24"/>
    </row>
    <row r="4" customFormat="false" ht="14.25" hidden="false" customHeight="true" outlineLevel="0" collapsed="false">
      <c r="A4" s="16" t="s">
        <v>245</v>
      </c>
      <c r="B4" s="7" t="s">
        <v>246</v>
      </c>
      <c r="C4" s="16" t="n">
        <v>3</v>
      </c>
      <c r="D4" s="7" t="s">
        <v>345</v>
      </c>
      <c r="E4" s="11" t="n">
        <v>46265</v>
      </c>
      <c r="F4" s="11" t="n">
        <v>46266</v>
      </c>
      <c r="G4" s="11" t="n">
        <v>46295</v>
      </c>
      <c r="H4" s="11" t="n">
        <v>46295</v>
      </c>
      <c r="I4" s="16" t="n">
        <v>3</v>
      </c>
      <c r="J4" s="7" t="s">
        <v>346</v>
      </c>
    </row>
    <row r="5" customFormat="false" ht="14.25" hidden="false" customHeight="true" outlineLevel="0" collapsed="false">
      <c r="A5" s="16" t="s">
        <v>249</v>
      </c>
      <c r="B5" s="7" t="s">
        <v>250</v>
      </c>
      <c r="C5" s="16" t="n">
        <v>3</v>
      </c>
      <c r="D5" s="7" t="s">
        <v>345</v>
      </c>
      <c r="E5" s="11" t="n">
        <v>46266</v>
      </c>
      <c r="F5" s="11" t="n">
        <v>46268</v>
      </c>
      <c r="G5" s="11" t="n">
        <v>46296</v>
      </c>
      <c r="H5" s="11" t="n">
        <v>46296</v>
      </c>
      <c r="I5" s="16" t="n">
        <v>3</v>
      </c>
      <c r="J5" s="7" t="s">
        <v>347</v>
      </c>
    </row>
    <row r="6" customFormat="false" ht="14.25" hidden="false" customHeight="true" outlineLevel="0" collapsed="false">
      <c r="A6" s="16" t="s">
        <v>252</v>
      </c>
      <c r="B6" s="7" t="s">
        <v>253</v>
      </c>
      <c r="C6" s="16" t="n">
        <v>3</v>
      </c>
      <c r="D6" s="7" t="s">
        <v>345</v>
      </c>
      <c r="E6" s="11" t="n">
        <v>46268</v>
      </c>
      <c r="F6" s="11" t="n">
        <v>46269</v>
      </c>
      <c r="G6" s="11" t="n">
        <v>46296</v>
      </c>
      <c r="H6" s="11" t="n">
        <v>46297</v>
      </c>
      <c r="I6" s="16" t="n">
        <v>3</v>
      </c>
      <c r="J6" s="7" t="s">
        <v>348</v>
      </c>
    </row>
    <row r="7" customFormat="false" ht="14.25" hidden="false" customHeight="true" outlineLevel="0" collapsed="false">
      <c r="A7" s="17"/>
      <c r="B7" s="18" t="s">
        <v>349</v>
      </c>
      <c r="C7" s="19" t="n">
        <f aca="false">SUM(C4:C6)</f>
        <v>9</v>
      </c>
      <c r="D7" s="17"/>
      <c r="E7" s="17"/>
      <c r="F7" s="17"/>
      <c r="G7" s="17"/>
      <c r="H7" s="17"/>
      <c r="I7" s="19" t="n">
        <f aca="false">SUM(I4:I6)</f>
        <v>9</v>
      </c>
      <c r="J7" s="17"/>
    </row>
    <row r="9" customFormat="false" ht="14.25" hidden="false" customHeight="true" outlineLevel="0" collapsed="false">
      <c r="A9" s="23" t="s">
        <v>350</v>
      </c>
      <c r="B9" s="24"/>
      <c r="C9" s="24"/>
      <c r="D9" s="24"/>
      <c r="E9" s="24"/>
      <c r="F9" s="24"/>
      <c r="G9" s="24"/>
      <c r="H9" s="24"/>
      <c r="I9" s="24"/>
      <c r="J9" s="24"/>
    </row>
    <row r="10" customFormat="false" ht="26.25" hidden="false" customHeight="true" outlineLevel="0" collapsed="false">
      <c r="A10" s="16" t="s">
        <v>118</v>
      </c>
      <c r="B10" s="7" t="s">
        <v>119</v>
      </c>
      <c r="C10" s="16" t="n">
        <v>3</v>
      </c>
      <c r="D10" s="7" t="s">
        <v>345</v>
      </c>
      <c r="E10" s="11" t="n">
        <v>46272</v>
      </c>
      <c r="F10" s="11" t="n">
        <v>46272</v>
      </c>
      <c r="G10" s="11" t="n">
        <v>46297</v>
      </c>
      <c r="H10" s="11" t="n">
        <v>46301</v>
      </c>
      <c r="I10" s="16" t="n">
        <v>3</v>
      </c>
      <c r="J10" s="7" t="s">
        <v>351</v>
      </c>
    </row>
    <row r="11" customFormat="false" ht="26.25" hidden="false" customHeight="true" outlineLevel="0" collapsed="false">
      <c r="A11" s="16" t="s">
        <v>125</v>
      </c>
      <c r="B11" s="7" t="s">
        <v>126</v>
      </c>
      <c r="C11" s="16" t="n">
        <v>3</v>
      </c>
      <c r="D11" s="7" t="s">
        <v>345</v>
      </c>
      <c r="E11" s="11" t="n">
        <v>46272</v>
      </c>
      <c r="F11" s="11" t="n">
        <v>46273</v>
      </c>
      <c r="G11" s="11" t="n">
        <v>46297</v>
      </c>
      <c r="H11" s="11" t="n">
        <v>46301</v>
      </c>
      <c r="I11" s="16" t="n">
        <v>3</v>
      </c>
      <c r="J11" s="7" t="s">
        <v>352</v>
      </c>
    </row>
    <row r="12" customFormat="false" ht="26.25" hidden="false" customHeight="true" outlineLevel="0" collapsed="false">
      <c r="A12" s="16" t="s">
        <v>128</v>
      </c>
      <c r="B12" s="7" t="s">
        <v>129</v>
      </c>
      <c r="C12" s="16" t="n">
        <v>5</v>
      </c>
      <c r="D12" s="7" t="s">
        <v>345</v>
      </c>
      <c r="E12" s="11" t="n">
        <v>46273</v>
      </c>
      <c r="F12" s="11" t="n">
        <v>46275</v>
      </c>
      <c r="G12" s="11" t="n">
        <v>46301</v>
      </c>
      <c r="H12" s="11" t="n">
        <v>46301</v>
      </c>
      <c r="I12" s="16" t="n">
        <v>5</v>
      </c>
      <c r="J12" s="7" t="s">
        <v>353</v>
      </c>
    </row>
    <row r="13" customFormat="false" ht="26.25" hidden="false" customHeight="true" outlineLevel="0" collapsed="false">
      <c r="A13" s="16" t="s">
        <v>138</v>
      </c>
      <c r="B13" s="7" t="s">
        <v>139</v>
      </c>
      <c r="C13" s="16" t="n">
        <v>2</v>
      </c>
      <c r="D13" s="7" t="s">
        <v>345</v>
      </c>
      <c r="E13" s="11" t="n">
        <v>46275</v>
      </c>
      <c r="F13" s="11" t="n">
        <v>46275</v>
      </c>
      <c r="G13" s="11" t="n">
        <v>46301</v>
      </c>
      <c r="H13" s="11" t="n">
        <v>46301</v>
      </c>
      <c r="I13" s="16" t="n">
        <v>2</v>
      </c>
      <c r="J13" s="7" t="s">
        <v>354</v>
      </c>
    </row>
    <row r="14" customFormat="false" ht="26.25" hidden="false" customHeight="true" outlineLevel="0" collapsed="false">
      <c r="A14" s="16" t="s">
        <v>141</v>
      </c>
      <c r="B14" s="7" t="s">
        <v>142</v>
      </c>
      <c r="C14" s="16" t="n">
        <v>5</v>
      </c>
      <c r="D14" s="7" t="s">
        <v>345</v>
      </c>
      <c r="E14" s="11" t="n">
        <v>46275</v>
      </c>
      <c r="F14" s="11" t="n">
        <v>46279</v>
      </c>
      <c r="G14" s="11" t="n">
        <v>46301</v>
      </c>
      <c r="H14" s="11" t="n">
        <v>46301</v>
      </c>
      <c r="I14" s="16" t="n">
        <v>5</v>
      </c>
      <c r="J14" s="7" t="s">
        <v>355</v>
      </c>
    </row>
    <row r="15" customFormat="false" ht="14.25" hidden="false" customHeight="true" outlineLevel="0" collapsed="false">
      <c r="A15" s="16" t="s">
        <v>144</v>
      </c>
      <c r="B15" s="7" t="s">
        <v>145</v>
      </c>
      <c r="C15" s="16" t="n">
        <v>1</v>
      </c>
      <c r="D15" s="7" t="s">
        <v>345</v>
      </c>
      <c r="E15" s="11" t="n">
        <v>46279</v>
      </c>
      <c r="F15" s="11" t="n">
        <v>46279</v>
      </c>
      <c r="G15" s="11" t="n">
        <v>46301</v>
      </c>
      <c r="H15" s="11" t="n">
        <v>46301</v>
      </c>
      <c r="I15" s="16" t="n">
        <v>1</v>
      </c>
      <c r="J15" s="7" t="s">
        <v>356</v>
      </c>
    </row>
    <row r="16" customFormat="false" ht="14.25" hidden="false" customHeight="true" outlineLevel="0" collapsed="false">
      <c r="A16" s="16" t="s">
        <v>147</v>
      </c>
      <c r="B16" s="7" t="s">
        <v>148</v>
      </c>
      <c r="C16" s="16" t="n">
        <v>5</v>
      </c>
      <c r="D16" s="7" t="s">
        <v>345</v>
      </c>
      <c r="E16" s="11" t="n">
        <v>46279</v>
      </c>
      <c r="F16" s="11" t="n">
        <v>46280</v>
      </c>
      <c r="G16" s="11" t="n">
        <v>46301</v>
      </c>
      <c r="H16" s="11" t="n">
        <v>46301</v>
      </c>
      <c r="I16" s="16" t="n">
        <v>5</v>
      </c>
      <c r="J16" s="7" t="s">
        <v>357</v>
      </c>
    </row>
    <row r="17" customFormat="false" ht="14.25" hidden="false" customHeight="true" outlineLevel="0" collapsed="false">
      <c r="A17" s="16" t="s">
        <v>157</v>
      </c>
      <c r="B17" s="7" t="s">
        <v>158</v>
      </c>
      <c r="C17" s="16" t="n">
        <v>3</v>
      </c>
      <c r="D17" s="7" t="s">
        <v>345</v>
      </c>
      <c r="E17" s="11" t="n">
        <v>46280</v>
      </c>
      <c r="F17" s="11" t="n">
        <v>46281</v>
      </c>
      <c r="G17" s="11" t="n">
        <v>46301</v>
      </c>
      <c r="H17" s="11" t="n">
        <v>46301</v>
      </c>
      <c r="I17" s="16" t="n">
        <v>3</v>
      </c>
      <c r="J17" s="7" t="s">
        <v>358</v>
      </c>
    </row>
    <row r="18" customFormat="false" ht="26.25" hidden="false" customHeight="true" outlineLevel="0" collapsed="false">
      <c r="A18" s="16" t="s">
        <v>163</v>
      </c>
      <c r="B18" s="7" t="s">
        <v>164</v>
      </c>
      <c r="C18" s="16" t="n">
        <v>3</v>
      </c>
      <c r="D18" s="7" t="s">
        <v>345</v>
      </c>
      <c r="E18" s="11" t="n">
        <v>46281</v>
      </c>
      <c r="F18" s="11" t="n">
        <v>46282</v>
      </c>
      <c r="G18" s="11" t="n">
        <v>46301</v>
      </c>
      <c r="H18" s="11" t="n">
        <v>46301</v>
      </c>
      <c r="I18" s="16" t="n">
        <v>3</v>
      </c>
      <c r="J18" s="7" t="s">
        <v>359</v>
      </c>
    </row>
    <row r="19" customFormat="false" ht="26.25" hidden="false" customHeight="true" outlineLevel="0" collapsed="false">
      <c r="A19" s="16" t="s">
        <v>166</v>
      </c>
      <c r="B19" s="7" t="s">
        <v>167</v>
      </c>
      <c r="C19" s="16" t="n">
        <v>5</v>
      </c>
      <c r="D19" s="7" t="s">
        <v>345</v>
      </c>
      <c r="E19" s="11" t="n">
        <v>46282</v>
      </c>
      <c r="F19" s="11" t="n">
        <v>46283</v>
      </c>
      <c r="G19" s="11" t="n">
        <v>46301</v>
      </c>
      <c r="H19" s="11" t="n">
        <v>46301</v>
      </c>
      <c r="I19" s="16" t="n">
        <v>5</v>
      </c>
      <c r="J19" s="7" t="s">
        <v>360</v>
      </c>
    </row>
    <row r="20" customFormat="false" ht="14.25" hidden="false" customHeight="true" outlineLevel="0" collapsed="false">
      <c r="A20" s="17"/>
      <c r="B20" s="18" t="s">
        <v>361</v>
      </c>
      <c r="C20" s="19" t="n">
        <f aca="false">SUM(C10:C19)</f>
        <v>35</v>
      </c>
      <c r="D20" s="17"/>
      <c r="E20" s="17"/>
      <c r="F20" s="17"/>
      <c r="G20" s="17"/>
      <c r="H20" s="17"/>
      <c r="I20" s="19" t="n">
        <f aca="false">SUM(I10:I19)</f>
        <v>35</v>
      </c>
      <c r="J20" s="17"/>
    </row>
    <row r="22" customFormat="false" ht="14.25" hidden="false" customHeight="true" outlineLevel="0" collapsed="false">
      <c r="A22" s="23" t="s">
        <v>362</v>
      </c>
      <c r="B22" s="24"/>
      <c r="C22" s="24"/>
      <c r="D22" s="24"/>
      <c r="E22" s="24"/>
      <c r="F22" s="24"/>
      <c r="G22" s="24"/>
      <c r="H22" s="24"/>
      <c r="I22" s="24"/>
      <c r="J22" s="24"/>
    </row>
    <row r="23" customFormat="false" ht="26.25" hidden="false" customHeight="true" outlineLevel="0" collapsed="false">
      <c r="A23" s="16" t="s">
        <v>132</v>
      </c>
      <c r="B23" s="7" t="s">
        <v>133</v>
      </c>
      <c r="C23" s="16" t="n">
        <v>2</v>
      </c>
      <c r="D23" s="7" t="s">
        <v>345</v>
      </c>
      <c r="E23" s="11" t="n">
        <v>46286</v>
      </c>
      <c r="F23" s="11" t="n">
        <v>46286</v>
      </c>
      <c r="G23" s="25" t="n">
        <v>46317</v>
      </c>
      <c r="H23" s="25"/>
      <c r="I23" s="26"/>
      <c r="J23" s="7" t="s">
        <v>363</v>
      </c>
    </row>
    <row r="24" customFormat="false" ht="14.25" hidden="false" customHeight="true" outlineLevel="0" collapsed="false">
      <c r="A24" s="16" t="s">
        <v>150</v>
      </c>
      <c r="B24" s="7" t="s">
        <v>151</v>
      </c>
      <c r="C24" s="16" t="n">
        <v>3</v>
      </c>
      <c r="D24" s="7" t="s">
        <v>345</v>
      </c>
      <c r="E24" s="11" t="n">
        <v>46286</v>
      </c>
      <c r="F24" s="11" t="n">
        <v>46287</v>
      </c>
      <c r="G24" s="11" t="n">
        <v>46301</v>
      </c>
      <c r="H24" s="11" t="n">
        <v>46301</v>
      </c>
      <c r="I24" s="16" t="n">
        <v>3</v>
      </c>
      <c r="J24" s="7" t="s">
        <v>364</v>
      </c>
    </row>
    <row r="25" customFormat="false" ht="14.25" hidden="false" customHeight="true" outlineLevel="0" collapsed="false">
      <c r="A25" s="16" t="s">
        <v>153</v>
      </c>
      <c r="B25" s="7" t="s">
        <v>154</v>
      </c>
      <c r="C25" s="16" t="n">
        <v>3</v>
      </c>
      <c r="D25" s="7" t="s">
        <v>345</v>
      </c>
      <c r="E25" s="11" t="n">
        <v>46287</v>
      </c>
      <c r="F25" s="11" t="n">
        <v>46288</v>
      </c>
      <c r="G25" s="11" t="n">
        <v>46301</v>
      </c>
      <c r="H25" s="11" t="n">
        <v>46301</v>
      </c>
      <c r="I25" s="16" t="n">
        <v>3</v>
      </c>
      <c r="J25" s="7" t="s">
        <v>365</v>
      </c>
    </row>
    <row r="26" customFormat="false" ht="14.25" hidden="false" customHeight="true" outlineLevel="0" collapsed="false">
      <c r="A26" s="16" t="s">
        <v>160</v>
      </c>
      <c r="B26" s="7" t="s">
        <v>161</v>
      </c>
      <c r="C26" s="16" t="n">
        <v>3</v>
      </c>
      <c r="D26" s="7" t="s">
        <v>345</v>
      </c>
      <c r="E26" s="11" t="n">
        <v>46288</v>
      </c>
      <c r="F26" s="11" t="n">
        <v>46289</v>
      </c>
      <c r="G26" s="11" t="n">
        <v>46301</v>
      </c>
      <c r="H26" s="11" t="n">
        <v>46301</v>
      </c>
      <c r="I26" s="16" t="n">
        <v>3</v>
      </c>
      <c r="J26" s="7" t="s">
        <v>366</v>
      </c>
    </row>
    <row r="27" customFormat="false" ht="26.25" hidden="false" customHeight="true" outlineLevel="0" collapsed="false">
      <c r="A27" s="16" t="s">
        <v>169</v>
      </c>
      <c r="B27" s="7" t="s">
        <v>170</v>
      </c>
      <c r="C27" s="16" t="n">
        <v>2</v>
      </c>
      <c r="D27" s="7" t="s">
        <v>345</v>
      </c>
      <c r="E27" s="11" t="n">
        <v>46289</v>
      </c>
      <c r="F27" s="11" t="n">
        <v>46289</v>
      </c>
      <c r="G27" s="11" t="n">
        <v>46301</v>
      </c>
      <c r="H27" s="11" t="n">
        <v>46301</v>
      </c>
      <c r="I27" s="16" t="n">
        <v>2</v>
      </c>
      <c r="J27" s="7" t="s">
        <v>367</v>
      </c>
    </row>
    <row r="28" customFormat="false" ht="26.25" hidden="false" customHeight="true" outlineLevel="0" collapsed="false">
      <c r="A28" s="16" t="s">
        <v>174</v>
      </c>
      <c r="B28" s="7" t="s">
        <v>175</v>
      </c>
      <c r="C28" s="16" t="n">
        <v>5</v>
      </c>
      <c r="D28" s="7" t="s">
        <v>368</v>
      </c>
      <c r="E28" s="11" t="n">
        <v>46289</v>
      </c>
      <c r="F28" s="11" t="n">
        <v>46293</v>
      </c>
      <c r="G28" s="25" t="n">
        <v>46303</v>
      </c>
      <c r="H28" s="25" t="n">
        <v>46309</v>
      </c>
      <c r="I28" s="26" t="n">
        <v>5</v>
      </c>
      <c r="J28" s="7" t="s">
        <v>369</v>
      </c>
    </row>
    <row r="29" customFormat="false" ht="14.25" hidden="false" customHeight="true" outlineLevel="0" collapsed="false">
      <c r="A29" s="16" t="s">
        <v>177</v>
      </c>
      <c r="B29" s="7" t="s">
        <v>178</v>
      </c>
      <c r="C29" s="16" t="n">
        <v>2</v>
      </c>
      <c r="D29" s="7" t="s">
        <v>368</v>
      </c>
      <c r="E29" s="11" t="n">
        <v>46293</v>
      </c>
      <c r="F29" s="11" t="n">
        <v>46294</v>
      </c>
      <c r="G29" s="25" t="n">
        <v>46303</v>
      </c>
      <c r="H29" s="25" t="n">
        <v>46309</v>
      </c>
      <c r="I29" s="26" t="n">
        <v>2</v>
      </c>
      <c r="J29" s="7" t="s">
        <v>370</v>
      </c>
    </row>
    <row r="30" customFormat="false" ht="26.25" hidden="false" customHeight="true" outlineLevel="0" collapsed="false">
      <c r="A30" s="16" t="s">
        <v>180</v>
      </c>
      <c r="B30" s="7" t="s">
        <v>181</v>
      </c>
      <c r="C30" s="16" t="n">
        <v>5</v>
      </c>
      <c r="D30" s="7" t="s">
        <v>368</v>
      </c>
      <c r="E30" s="11" t="n">
        <v>46294</v>
      </c>
      <c r="F30" s="11" t="n">
        <v>46295</v>
      </c>
      <c r="G30" s="25" t="n">
        <v>46303</v>
      </c>
      <c r="H30" s="25" t="n">
        <v>46309</v>
      </c>
      <c r="I30" s="26" t="n">
        <v>5</v>
      </c>
      <c r="J30" s="7" t="s">
        <v>371</v>
      </c>
    </row>
    <row r="31" customFormat="false" ht="26.25" hidden="false" customHeight="true" outlineLevel="0" collapsed="false">
      <c r="A31" s="16" t="s">
        <v>194</v>
      </c>
      <c r="B31" s="7" t="s">
        <v>195</v>
      </c>
      <c r="C31" s="16" t="n">
        <v>8</v>
      </c>
      <c r="D31" s="7" t="s">
        <v>372</v>
      </c>
      <c r="E31" s="11" t="n">
        <v>46295</v>
      </c>
      <c r="F31" s="11" t="n">
        <v>46297</v>
      </c>
      <c r="G31" s="25" t="n">
        <v>46303</v>
      </c>
      <c r="H31" s="25"/>
      <c r="I31" s="26"/>
      <c r="J31" s="7" t="s">
        <v>373</v>
      </c>
    </row>
    <row r="32" customFormat="false" ht="14.25" hidden="false" customHeight="true" outlineLevel="0" collapsed="false">
      <c r="A32" s="17"/>
      <c r="B32" s="18" t="s">
        <v>374</v>
      </c>
      <c r="C32" s="19" t="n">
        <f aca="false">SUM(C23:C31)</f>
        <v>33</v>
      </c>
      <c r="D32" s="17"/>
      <c r="E32" s="17"/>
      <c r="F32" s="17"/>
      <c r="G32" s="17"/>
      <c r="H32" s="17"/>
      <c r="I32" s="19" t="n">
        <f aca="false">SUM(I23:I31)</f>
        <v>23</v>
      </c>
      <c r="J32" s="17"/>
    </row>
    <row r="34" customFormat="false" ht="14.25" hidden="false" customHeight="true" outlineLevel="0" collapsed="false">
      <c r="A34" s="23" t="s">
        <v>375</v>
      </c>
      <c r="B34" s="24"/>
      <c r="C34" s="24"/>
      <c r="D34" s="24"/>
      <c r="E34" s="24"/>
      <c r="F34" s="24"/>
      <c r="G34" s="24"/>
      <c r="H34" s="24"/>
      <c r="I34" s="24"/>
      <c r="J34" s="24"/>
    </row>
    <row r="35" customFormat="false" ht="14.25" hidden="false" customHeight="true" outlineLevel="0" collapsed="false">
      <c r="A35" s="16" t="s">
        <v>184</v>
      </c>
      <c r="B35" s="7" t="s">
        <v>185</v>
      </c>
      <c r="C35" s="16" t="n">
        <v>8</v>
      </c>
      <c r="D35" s="10"/>
      <c r="E35" s="11" t="n">
        <v>46300</v>
      </c>
      <c r="F35" s="11" t="n">
        <v>46302</v>
      </c>
      <c r="G35" s="25"/>
      <c r="H35" s="25"/>
      <c r="I35" s="26"/>
      <c r="J35" s="7" t="s">
        <v>376</v>
      </c>
    </row>
    <row r="36" customFormat="false" ht="14.25" hidden="false" customHeight="true" outlineLevel="0" collapsed="false">
      <c r="A36" s="16" t="s">
        <v>188</v>
      </c>
      <c r="B36" s="7" t="s">
        <v>189</v>
      </c>
      <c r="C36" s="16" t="n">
        <v>3</v>
      </c>
      <c r="D36" s="10"/>
      <c r="E36" s="11" t="n">
        <v>46302</v>
      </c>
      <c r="F36" s="11" t="n">
        <v>46303</v>
      </c>
      <c r="G36" s="25"/>
      <c r="H36" s="25"/>
      <c r="I36" s="26"/>
      <c r="J36" s="7" t="s">
        <v>377</v>
      </c>
    </row>
    <row r="37" customFormat="false" ht="14.25" hidden="false" customHeight="true" outlineLevel="0" collapsed="false">
      <c r="A37" s="16" t="s">
        <v>191</v>
      </c>
      <c r="B37" s="7" t="s">
        <v>192</v>
      </c>
      <c r="C37" s="16" t="n">
        <v>5</v>
      </c>
      <c r="D37" s="10"/>
      <c r="E37" s="11" t="n">
        <v>46303</v>
      </c>
      <c r="F37" s="11" t="n">
        <v>46304</v>
      </c>
      <c r="G37" s="25"/>
      <c r="H37" s="25"/>
      <c r="I37" s="26"/>
      <c r="J37" s="7" t="s">
        <v>378</v>
      </c>
    </row>
    <row r="38" customFormat="false" ht="14.25" hidden="false" customHeight="true" outlineLevel="0" collapsed="false">
      <c r="A38" s="16" t="s">
        <v>197</v>
      </c>
      <c r="B38" s="7" t="s">
        <v>198</v>
      </c>
      <c r="C38" s="16" t="n">
        <v>3</v>
      </c>
      <c r="D38" s="10"/>
      <c r="E38" s="11" t="n">
        <v>46304</v>
      </c>
      <c r="F38" s="11" t="n">
        <v>46307</v>
      </c>
      <c r="G38" s="25"/>
      <c r="H38" s="25"/>
      <c r="I38" s="26"/>
      <c r="J38" s="7" t="s">
        <v>379</v>
      </c>
    </row>
    <row r="39" customFormat="false" ht="14.25" hidden="false" customHeight="true" outlineLevel="0" collapsed="false">
      <c r="A39" s="16" t="s">
        <v>200</v>
      </c>
      <c r="B39" s="7" t="s">
        <v>201</v>
      </c>
      <c r="C39" s="16" t="n">
        <v>5</v>
      </c>
      <c r="D39" s="10"/>
      <c r="E39" s="11" t="n">
        <v>46307</v>
      </c>
      <c r="F39" s="11" t="n">
        <v>46309</v>
      </c>
      <c r="G39" s="25"/>
      <c r="H39" s="25"/>
      <c r="I39" s="26"/>
      <c r="J39" s="7" t="s">
        <v>380</v>
      </c>
    </row>
    <row r="40" customFormat="false" ht="26.25" hidden="false" customHeight="true" outlineLevel="0" collapsed="false">
      <c r="A40" s="16" t="s">
        <v>203</v>
      </c>
      <c r="B40" s="7" t="s">
        <v>204</v>
      </c>
      <c r="C40" s="16" t="n">
        <v>3</v>
      </c>
      <c r="D40" s="10"/>
      <c r="E40" s="11" t="n">
        <v>46309</v>
      </c>
      <c r="F40" s="11" t="n">
        <v>46309</v>
      </c>
      <c r="G40" s="25"/>
      <c r="H40" s="25"/>
      <c r="I40" s="26"/>
      <c r="J40" s="7" t="s">
        <v>381</v>
      </c>
    </row>
    <row r="41" customFormat="false" ht="26.25" hidden="false" customHeight="true" outlineLevel="0" collapsed="false">
      <c r="A41" s="16" t="s">
        <v>207</v>
      </c>
      <c r="B41" s="7" t="s">
        <v>208</v>
      </c>
      <c r="C41" s="16" t="n">
        <v>5</v>
      </c>
      <c r="D41" s="10"/>
      <c r="E41" s="11" t="n">
        <v>46309</v>
      </c>
      <c r="F41" s="11" t="n">
        <v>46311</v>
      </c>
      <c r="G41" s="25"/>
      <c r="H41" s="25"/>
      <c r="I41" s="26"/>
      <c r="J41" s="7" t="s">
        <v>382</v>
      </c>
    </row>
    <row r="42" customFormat="false" ht="14.25" hidden="false" customHeight="true" outlineLevel="0" collapsed="false">
      <c r="A42" s="16" t="s">
        <v>210</v>
      </c>
      <c r="B42" s="7" t="s">
        <v>211</v>
      </c>
      <c r="C42" s="16" t="n">
        <v>2</v>
      </c>
      <c r="D42" s="10"/>
      <c r="E42" s="11" t="n">
        <v>46311</v>
      </c>
      <c r="F42" s="11" t="n">
        <v>46311</v>
      </c>
      <c r="G42" s="25"/>
      <c r="H42" s="25"/>
      <c r="I42" s="26"/>
      <c r="J42" s="7" t="s">
        <v>383</v>
      </c>
    </row>
    <row r="43" customFormat="false" ht="14.25" hidden="false" customHeight="true" outlineLevel="0" collapsed="false">
      <c r="A43" s="17"/>
      <c r="B43" s="18" t="s">
        <v>384</v>
      </c>
      <c r="C43" s="19" t="n">
        <f aca="false">SUM(C35:C42)</f>
        <v>34</v>
      </c>
      <c r="D43" s="17"/>
      <c r="E43" s="17"/>
      <c r="F43" s="17"/>
      <c r="G43" s="17"/>
      <c r="H43" s="17"/>
      <c r="I43" s="19" t="n">
        <f aca="false">SUM(I35:I42)</f>
        <v>0</v>
      </c>
      <c r="J43" s="17"/>
    </row>
    <row r="45" customFormat="false" ht="14.25" hidden="false" customHeight="true" outlineLevel="0" collapsed="false">
      <c r="A45" s="23" t="s">
        <v>385</v>
      </c>
      <c r="B45" s="24"/>
      <c r="C45" s="24"/>
      <c r="D45" s="24"/>
      <c r="E45" s="24"/>
      <c r="F45" s="24"/>
      <c r="G45" s="24"/>
      <c r="H45" s="24"/>
      <c r="I45" s="24"/>
      <c r="J45" s="24"/>
    </row>
    <row r="46" customFormat="false" ht="14.25" hidden="false" customHeight="true" outlineLevel="0" collapsed="false">
      <c r="A46" s="16" t="s">
        <v>213</v>
      </c>
      <c r="B46" s="7" t="s">
        <v>214</v>
      </c>
      <c r="C46" s="16" t="n">
        <v>2</v>
      </c>
      <c r="D46" s="10"/>
      <c r="E46" s="11" t="n">
        <v>46314</v>
      </c>
      <c r="F46" s="11" t="n">
        <v>46314</v>
      </c>
      <c r="G46" s="25"/>
      <c r="H46" s="25"/>
      <c r="I46" s="26"/>
      <c r="J46" s="7" t="s">
        <v>122</v>
      </c>
    </row>
    <row r="47" customFormat="false" ht="14.25" hidden="false" customHeight="true" outlineLevel="0" collapsed="false">
      <c r="A47" s="16" t="s">
        <v>216</v>
      </c>
      <c r="B47" s="7" t="s">
        <v>217</v>
      </c>
      <c r="C47" s="16" t="n">
        <v>5</v>
      </c>
      <c r="D47" s="10"/>
      <c r="E47" s="11" t="n">
        <v>46314</v>
      </c>
      <c r="F47" s="11" t="n">
        <v>46317</v>
      </c>
      <c r="G47" s="25"/>
      <c r="H47" s="25"/>
      <c r="I47" s="26"/>
      <c r="J47" s="7" t="s">
        <v>386</v>
      </c>
    </row>
    <row r="48" customFormat="false" ht="14.25" hidden="false" customHeight="true" outlineLevel="0" collapsed="false">
      <c r="A48" s="16" t="s">
        <v>220</v>
      </c>
      <c r="B48" s="7" t="s">
        <v>221</v>
      </c>
      <c r="C48" s="16" t="n">
        <v>5</v>
      </c>
      <c r="D48" s="10"/>
      <c r="E48" s="11" t="n">
        <v>46317</v>
      </c>
      <c r="F48" s="11" t="n">
        <v>46321</v>
      </c>
      <c r="G48" s="25"/>
      <c r="H48" s="25"/>
      <c r="I48" s="26"/>
      <c r="J48" s="7" t="s">
        <v>387</v>
      </c>
    </row>
    <row r="49" customFormat="false" ht="14.25" hidden="false" customHeight="true" outlineLevel="0" collapsed="false">
      <c r="A49" s="16" t="s">
        <v>223</v>
      </c>
      <c r="B49" s="7" t="s">
        <v>224</v>
      </c>
      <c r="C49" s="16" t="n">
        <v>2</v>
      </c>
      <c r="D49" s="10"/>
      <c r="E49" s="11" t="n">
        <v>46321</v>
      </c>
      <c r="F49" s="11" t="n">
        <v>46322</v>
      </c>
      <c r="G49" s="25"/>
      <c r="H49" s="25"/>
      <c r="I49" s="26"/>
      <c r="J49" s="7" t="s">
        <v>122</v>
      </c>
    </row>
    <row r="50" customFormat="false" ht="14.25" hidden="false" customHeight="true" outlineLevel="0" collapsed="false">
      <c r="A50" s="16" t="s">
        <v>225</v>
      </c>
      <c r="B50" s="7" t="s">
        <v>226</v>
      </c>
      <c r="C50" s="16" t="n">
        <v>3</v>
      </c>
      <c r="D50" s="10"/>
      <c r="E50" s="11" t="n">
        <v>46322</v>
      </c>
      <c r="F50" s="11" t="n">
        <v>46323</v>
      </c>
      <c r="G50" s="25"/>
      <c r="H50" s="25"/>
      <c r="I50" s="26"/>
      <c r="J50" s="7" t="s">
        <v>130</v>
      </c>
    </row>
    <row r="51" customFormat="false" ht="26.25" hidden="false" customHeight="true" outlineLevel="0" collapsed="false">
      <c r="A51" s="16" t="s">
        <v>228</v>
      </c>
      <c r="B51" s="7" t="s">
        <v>229</v>
      </c>
      <c r="C51" s="16" t="n">
        <v>3</v>
      </c>
      <c r="D51" s="10"/>
      <c r="E51" s="11" t="n">
        <v>46323</v>
      </c>
      <c r="F51" s="11" t="n">
        <v>46325</v>
      </c>
      <c r="G51" s="25"/>
      <c r="H51" s="25"/>
      <c r="I51" s="26"/>
      <c r="J51" s="7" t="s">
        <v>388</v>
      </c>
    </row>
    <row r="52" customFormat="false" ht="26.25" hidden="false" customHeight="true" outlineLevel="0" collapsed="false">
      <c r="A52" s="16" t="s">
        <v>231</v>
      </c>
      <c r="B52" s="7" t="s">
        <v>232</v>
      </c>
      <c r="C52" s="16" t="n">
        <v>2</v>
      </c>
      <c r="D52" s="10"/>
      <c r="E52" s="11" t="n">
        <v>46325</v>
      </c>
      <c r="F52" s="11" t="n">
        <v>46325</v>
      </c>
      <c r="G52" s="25"/>
      <c r="H52" s="25"/>
      <c r="I52" s="26"/>
      <c r="J52" s="7" t="s">
        <v>389</v>
      </c>
    </row>
    <row r="53" customFormat="false" ht="14.25" hidden="false" customHeight="true" outlineLevel="0" collapsed="false">
      <c r="A53" s="17"/>
      <c r="B53" s="18" t="s">
        <v>390</v>
      </c>
      <c r="C53" s="19" t="n">
        <f aca="false">SUM(C46:C52)</f>
        <v>22</v>
      </c>
      <c r="D53" s="17"/>
      <c r="E53" s="17"/>
      <c r="F53" s="17"/>
      <c r="G53" s="17"/>
      <c r="H53" s="17"/>
      <c r="I53" s="19" t="n">
        <f aca="false">SUM(I46:I52)</f>
        <v>0</v>
      </c>
      <c r="J53" s="17"/>
    </row>
    <row r="55" customFormat="false" ht="14.25" hidden="false" customHeight="true" outlineLevel="0" collapsed="false">
      <c r="A55" s="23" t="s">
        <v>391</v>
      </c>
      <c r="B55" s="24"/>
      <c r="C55" s="24"/>
      <c r="D55" s="24"/>
      <c r="E55" s="24"/>
      <c r="F55" s="24"/>
      <c r="G55" s="24"/>
      <c r="H55" s="24"/>
      <c r="I55" s="24"/>
      <c r="J55" s="24"/>
    </row>
    <row r="56" customFormat="false" ht="26.25" hidden="false" customHeight="true" outlineLevel="0" collapsed="false">
      <c r="A56" s="16" t="s">
        <v>235</v>
      </c>
      <c r="B56" s="7" t="s">
        <v>236</v>
      </c>
      <c r="C56" s="16" t="n">
        <v>5</v>
      </c>
      <c r="D56" s="10"/>
      <c r="E56" s="11" t="n">
        <v>46328</v>
      </c>
      <c r="F56" s="11" t="n">
        <v>46330</v>
      </c>
      <c r="G56" s="25"/>
      <c r="H56" s="25"/>
      <c r="I56" s="26"/>
      <c r="J56" s="7" t="s">
        <v>392</v>
      </c>
    </row>
    <row r="57" customFormat="false" ht="14.25" hidden="false" customHeight="true" outlineLevel="0" collapsed="false">
      <c r="A57" s="16" t="s">
        <v>239</v>
      </c>
      <c r="B57" s="7" t="s">
        <v>240</v>
      </c>
      <c r="C57" s="16" t="n">
        <v>5</v>
      </c>
      <c r="D57" s="10"/>
      <c r="E57" s="11" t="n">
        <v>46331</v>
      </c>
      <c r="F57" s="11" t="n">
        <v>46335</v>
      </c>
      <c r="G57" s="25"/>
      <c r="H57" s="25"/>
      <c r="I57" s="26"/>
      <c r="J57" s="7" t="s">
        <v>393</v>
      </c>
    </row>
    <row r="58" customFormat="false" ht="26.25" hidden="false" customHeight="true" outlineLevel="0" collapsed="false">
      <c r="A58" s="16" t="s">
        <v>242</v>
      </c>
      <c r="B58" s="7" t="s">
        <v>243</v>
      </c>
      <c r="C58" s="16" t="n">
        <v>5</v>
      </c>
      <c r="D58" s="10"/>
      <c r="E58" s="11" t="n">
        <v>46336</v>
      </c>
      <c r="F58" s="11" t="n">
        <v>46338</v>
      </c>
      <c r="G58" s="25"/>
      <c r="H58" s="25"/>
      <c r="I58" s="26"/>
      <c r="J58" s="7" t="s">
        <v>130</v>
      </c>
    </row>
    <row r="59" customFormat="false" ht="14.25" hidden="false" customHeight="true" outlineLevel="0" collapsed="false">
      <c r="A59" s="16" t="s">
        <v>256</v>
      </c>
      <c r="B59" s="7" t="s">
        <v>257</v>
      </c>
      <c r="C59" s="16" t="n">
        <v>5</v>
      </c>
      <c r="D59" s="10"/>
      <c r="E59" s="11" t="n">
        <v>46339</v>
      </c>
      <c r="F59" s="11" t="n">
        <v>46343</v>
      </c>
      <c r="G59" s="25"/>
      <c r="H59" s="25"/>
      <c r="I59" s="26"/>
      <c r="J59" s="7" t="s">
        <v>394</v>
      </c>
    </row>
    <row r="60" customFormat="false" ht="14.25" hidden="false" customHeight="true" outlineLevel="0" collapsed="false">
      <c r="A60" s="16" t="s">
        <v>261</v>
      </c>
      <c r="B60" s="7" t="s">
        <v>262</v>
      </c>
      <c r="C60" s="16" t="n">
        <v>5</v>
      </c>
      <c r="D60" s="10"/>
      <c r="E60" s="11" t="n">
        <v>46344</v>
      </c>
      <c r="F60" s="11" t="n">
        <v>46346</v>
      </c>
      <c r="G60" s="25"/>
      <c r="H60" s="25"/>
      <c r="I60" s="26"/>
      <c r="J60" s="7" t="s">
        <v>122</v>
      </c>
    </row>
    <row r="61" customFormat="false" ht="14.25" hidden="false" customHeight="true" outlineLevel="0" collapsed="false">
      <c r="A61" s="17"/>
      <c r="B61" s="18" t="s">
        <v>395</v>
      </c>
      <c r="C61" s="19" t="n">
        <f aca="false">SUM(C56:C60)</f>
        <v>25</v>
      </c>
      <c r="D61" s="17"/>
      <c r="E61" s="17"/>
      <c r="F61" s="17"/>
      <c r="G61" s="17"/>
      <c r="H61" s="17"/>
      <c r="I61" s="19" t="n">
        <f aca="false">SUM(I56:I60)</f>
        <v>0</v>
      </c>
      <c r="J61" s="17"/>
    </row>
    <row r="63" customFormat="false" ht="14.25" hidden="false" customHeight="true" outlineLevel="0" collapsed="false">
      <c r="A63" s="23" t="s">
        <v>396</v>
      </c>
      <c r="B63" s="24"/>
      <c r="C63" s="24"/>
      <c r="D63" s="24"/>
      <c r="E63" s="24"/>
      <c r="F63" s="24"/>
      <c r="G63" s="24"/>
      <c r="H63" s="24"/>
      <c r="I63" s="24"/>
      <c r="J63" s="24"/>
    </row>
    <row r="64" customFormat="false" ht="14.25" hidden="false" customHeight="true" outlineLevel="0" collapsed="false">
      <c r="A64" s="16" t="s">
        <v>264</v>
      </c>
      <c r="B64" s="7" t="s">
        <v>265</v>
      </c>
      <c r="C64" s="16" t="n">
        <v>3</v>
      </c>
      <c r="D64" s="10" t="s">
        <v>345</v>
      </c>
      <c r="E64" s="11" t="n">
        <v>46317</v>
      </c>
      <c r="F64" s="11" t="n">
        <v>46317</v>
      </c>
      <c r="G64" s="25" t="n">
        <v>46317</v>
      </c>
      <c r="H64" s="25"/>
      <c r="I64" s="26"/>
      <c r="J64" s="7" t="s">
        <v>397</v>
      </c>
    </row>
    <row r="65" customFormat="false" ht="14.25" hidden="false" customHeight="true" outlineLevel="0" collapsed="false">
      <c r="A65" s="16" t="s">
        <v>268</v>
      </c>
      <c r="B65" s="7" t="s">
        <v>269</v>
      </c>
      <c r="C65" s="16" t="n">
        <v>5</v>
      </c>
      <c r="D65" s="10"/>
      <c r="E65" s="11" t="n">
        <v>46318</v>
      </c>
      <c r="F65" s="11" t="n">
        <v>46319</v>
      </c>
      <c r="G65" s="25"/>
      <c r="H65" s="25"/>
      <c r="I65" s="26"/>
      <c r="J65" s="7" t="s">
        <v>398</v>
      </c>
    </row>
    <row r="66" customFormat="false" ht="14.25" hidden="false" customHeight="true" outlineLevel="0" collapsed="false">
      <c r="A66" s="16" t="s">
        <v>272</v>
      </c>
      <c r="B66" s="7" t="s">
        <v>273</v>
      </c>
      <c r="C66" s="16" t="n">
        <v>5</v>
      </c>
      <c r="D66" s="10"/>
      <c r="E66" s="11" t="n">
        <v>46321</v>
      </c>
      <c r="F66" s="11" t="n">
        <v>46322</v>
      </c>
      <c r="G66" s="25"/>
      <c r="H66" s="25"/>
      <c r="I66" s="26"/>
      <c r="J66" s="7" t="s">
        <v>399</v>
      </c>
    </row>
    <row r="67" customFormat="false" ht="14.25" hidden="false" customHeight="true" outlineLevel="0" collapsed="false">
      <c r="A67" s="16" t="s">
        <v>275</v>
      </c>
      <c r="B67" s="7" t="s">
        <v>276</v>
      </c>
      <c r="C67" s="16" t="n">
        <v>3</v>
      </c>
      <c r="D67" s="10"/>
      <c r="E67" s="11" t="n">
        <v>46325</v>
      </c>
      <c r="F67" s="11" t="n">
        <v>46325</v>
      </c>
      <c r="G67" s="25"/>
      <c r="H67" s="25"/>
      <c r="I67" s="26"/>
      <c r="J67" s="7" t="s">
        <v>400</v>
      </c>
    </row>
    <row r="68" customFormat="false" ht="14.25" hidden="false" customHeight="true" outlineLevel="0" collapsed="false">
      <c r="A68" s="16" t="s">
        <v>278</v>
      </c>
      <c r="B68" s="7" t="s">
        <v>279</v>
      </c>
      <c r="C68" s="16" t="n">
        <v>5</v>
      </c>
      <c r="D68" s="10"/>
      <c r="E68" s="11" t="n">
        <v>46328</v>
      </c>
      <c r="F68" s="11" t="n">
        <v>46329</v>
      </c>
      <c r="G68" s="25"/>
      <c r="H68" s="25"/>
      <c r="I68" s="26"/>
      <c r="J68" s="7" t="s">
        <v>401</v>
      </c>
    </row>
    <row r="69" customFormat="false" ht="14.25" hidden="false" customHeight="true" outlineLevel="0" collapsed="false">
      <c r="A69" s="16" t="s">
        <v>282</v>
      </c>
      <c r="B69" s="7" t="s">
        <v>283</v>
      </c>
      <c r="C69" s="16" t="n">
        <v>3</v>
      </c>
      <c r="D69" s="10"/>
      <c r="E69" s="11" t="n">
        <v>46329</v>
      </c>
      <c r="F69" s="11" t="n">
        <v>46329</v>
      </c>
      <c r="G69" s="25"/>
      <c r="H69" s="25"/>
      <c r="I69" s="26"/>
      <c r="J69" s="7" t="s">
        <v>402</v>
      </c>
    </row>
    <row r="70" customFormat="false" ht="14.25" hidden="false" customHeight="true" outlineLevel="0" collapsed="false">
      <c r="A70" s="16" t="s">
        <v>285</v>
      </c>
      <c r="B70" s="7" t="s">
        <v>286</v>
      </c>
      <c r="C70" s="16" t="n">
        <v>5</v>
      </c>
      <c r="D70" s="10"/>
      <c r="E70" s="11" t="n">
        <v>46330</v>
      </c>
      <c r="F70" s="11" t="n">
        <v>46330</v>
      </c>
      <c r="G70" s="25"/>
      <c r="H70" s="25"/>
      <c r="I70" s="26"/>
      <c r="J70" s="7" t="s">
        <v>403</v>
      </c>
    </row>
    <row r="71" customFormat="false" ht="14.25" hidden="false" customHeight="true" outlineLevel="0" collapsed="false">
      <c r="A71" s="16" t="s">
        <v>288</v>
      </c>
      <c r="B71" s="7" t="s">
        <v>289</v>
      </c>
      <c r="C71" s="16" t="n">
        <v>5</v>
      </c>
      <c r="D71" s="10"/>
      <c r="E71" s="11" t="n">
        <v>46331</v>
      </c>
      <c r="F71" s="11" t="n">
        <v>46331</v>
      </c>
      <c r="G71" s="25"/>
      <c r="H71" s="25"/>
      <c r="I71" s="26"/>
      <c r="J71" s="7" t="s">
        <v>403</v>
      </c>
    </row>
    <row r="72" customFormat="false" ht="14.25" hidden="false" customHeight="true" outlineLevel="0" collapsed="false">
      <c r="A72" s="16" t="s">
        <v>291</v>
      </c>
      <c r="B72" s="7" t="s">
        <v>292</v>
      </c>
      <c r="C72" s="16" t="n">
        <v>3</v>
      </c>
      <c r="D72" s="10"/>
      <c r="E72" s="11" t="n">
        <v>46324</v>
      </c>
      <c r="F72" s="11" t="n">
        <v>46324</v>
      </c>
      <c r="G72" s="25"/>
      <c r="H72" s="25"/>
      <c r="I72" s="26"/>
      <c r="J72" s="7" t="s">
        <v>404</v>
      </c>
    </row>
    <row r="73" customFormat="false" ht="14.25" hidden="false" customHeight="true" outlineLevel="0" collapsed="false">
      <c r="A73" s="16" t="s">
        <v>294</v>
      </c>
      <c r="B73" s="7" t="s">
        <v>295</v>
      </c>
      <c r="C73" s="16" t="n">
        <v>2</v>
      </c>
      <c r="D73" s="10"/>
      <c r="E73" s="11" t="n">
        <v>46332</v>
      </c>
      <c r="F73" s="11" t="n">
        <v>46332</v>
      </c>
      <c r="G73" s="25"/>
      <c r="H73" s="25"/>
      <c r="I73" s="26"/>
      <c r="J73" s="7" t="s">
        <v>405</v>
      </c>
    </row>
    <row r="74" customFormat="false" ht="14.25" hidden="false" customHeight="true" outlineLevel="0" collapsed="false">
      <c r="A74" s="16" t="s">
        <v>297</v>
      </c>
      <c r="B74" s="7" t="s">
        <v>298</v>
      </c>
      <c r="C74" s="16" t="n">
        <v>2</v>
      </c>
      <c r="D74" s="10"/>
      <c r="E74" s="11" t="n">
        <v>46332</v>
      </c>
      <c r="F74" s="11" t="n">
        <v>46332</v>
      </c>
      <c r="G74" s="25"/>
      <c r="H74" s="25"/>
      <c r="I74" s="26"/>
      <c r="J74" s="7" t="s">
        <v>406</v>
      </c>
    </row>
    <row r="75" customFormat="false" ht="14.25" hidden="false" customHeight="true" outlineLevel="0" collapsed="false">
      <c r="A75" s="16" t="s">
        <v>300</v>
      </c>
      <c r="B75" s="7" t="s">
        <v>301</v>
      </c>
      <c r="C75" s="16" t="n">
        <v>2</v>
      </c>
      <c r="D75" s="10"/>
      <c r="E75" s="11" t="n">
        <v>46336</v>
      </c>
      <c r="F75" s="11" t="n">
        <v>46336</v>
      </c>
      <c r="G75" s="25"/>
      <c r="H75" s="25"/>
      <c r="I75" s="26"/>
      <c r="J75" s="7" t="s">
        <v>407</v>
      </c>
    </row>
    <row r="76" customFormat="false" ht="14.25" hidden="false" customHeight="true" outlineLevel="0" collapsed="false">
      <c r="A76" s="16" t="s">
        <v>303</v>
      </c>
      <c r="B76" s="7" t="s">
        <v>304</v>
      </c>
      <c r="C76" s="16" t="n">
        <v>5</v>
      </c>
      <c r="D76" s="10"/>
      <c r="E76" s="11" t="n">
        <v>46337</v>
      </c>
      <c r="F76" s="11" t="n">
        <v>46338</v>
      </c>
      <c r="G76" s="25"/>
      <c r="H76" s="25"/>
      <c r="I76" s="26"/>
      <c r="J76" s="7" t="s">
        <v>407</v>
      </c>
    </row>
    <row r="77" customFormat="false" ht="14.25" hidden="false" customHeight="true" outlineLevel="0" collapsed="false">
      <c r="A77" s="16" t="s">
        <v>306</v>
      </c>
      <c r="B77" s="7" t="s">
        <v>307</v>
      </c>
      <c r="C77" s="16" t="n">
        <v>3</v>
      </c>
      <c r="D77" s="10"/>
      <c r="E77" s="11" t="n">
        <v>46338</v>
      </c>
      <c r="F77" s="11" t="n">
        <v>46339</v>
      </c>
      <c r="G77" s="25"/>
      <c r="H77" s="25"/>
      <c r="I77" s="26"/>
      <c r="J77" s="7" t="s">
        <v>407</v>
      </c>
    </row>
    <row r="78" customFormat="false" ht="14.25" hidden="false" customHeight="true" outlineLevel="0" collapsed="false">
      <c r="A78" s="16" t="s">
        <v>309</v>
      </c>
      <c r="B78" s="7" t="s">
        <v>310</v>
      </c>
      <c r="C78" s="16" t="n">
        <v>5</v>
      </c>
      <c r="D78" s="10"/>
      <c r="E78" s="11" t="n">
        <v>46340</v>
      </c>
      <c r="F78" s="11" t="n">
        <v>46340</v>
      </c>
      <c r="G78" s="25"/>
      <c r="H78" s="25"/>
      <c r="I78" s="26"/>
      <c r="J78" s="7" t="s">
        <v>408</v>
      </c>
    </row>
    <row r="79" customFormat="false" ht="14.25" hidden="false" customHeight="true" outlineLevel="0" collapsed="false">
      <c r="A79" s="16" t="s">
        <v>312</v>
      </c>
      <c r="B79" s="7" t="s">
        <v>313</v>
      </c>
      <c r="C79" s="16" t="n">
        <v>8</v>
      </c>
      <c r="D79" s="10"/>
      <c r="E79" s="11" t="n">
        <v>46341</v>
      </c>
      <c r="F79" s="11" t="n">
        <v>46342</v>
      </c>
      <c r="G79" s="25"/>
      <c r="H79" s="25"/>
      <c r="I79" s="26"/>
      <c r="J79" s="7" t="s">
        <v>408</v>
      </c>
    </row>
    <row r="80" customFormat="false" ht="14.25" hidden="false" customHeight="true" outlineLevel="0" collapsed="false">
      <c r="A80" s="16" t="s">
        <v>315</v>
      </c>
      <c r="B80" s="7" t="s">
        <v>316</v>
      </c>
      <c r="C80" s="16" t="n">
        <v>3</v>
      </c>
      <c r="D80" s="10"/>
      <c r="E80" s="11" t="n">
        <v>46343</v>
      </c>
      <c r="F80" s="11" t="n">
        <v>46343</v>
      </c>
      <c r="G80" s="25"/>
      <c r="H80" s="25"/>
      <c r="I80" s="26"/>
      <c r="J80" s="7" t="s">
        <v>409</v>
      </c>
    </row>
    <row r="81" customFormat="false" ht="14.25" hidden="false" customHeight="true" outlineLevel="0" collapsed="false">
      <c r="A81" s="16" t="s">
        <v>318</v>
      </c>
      <c r="B81" s="7" t="s">
        <v>319</v>
      </c>
      <c r="C81" s="16" t="n">
        <v>3</v>
      </c>
      <c r="D81" s="10"/>
      <c r="E81" s="11" t="n">
        <v>46343</v>
      </c>
      <c r="F81" s="11" t="n">
        <v>46343</v>
      </c>
      <c r="G81" s="25"/>
      <c r="H81" s="25"/>
      <c r="I81" s="26"/>
      <c r="J81" s="7" t="s">
        <v>408</v>
      </c>
    </row>
    <row r="82" customFormat="false" ht="14.25" hidden="false" customHeight="true" outlineLevel="0" collapsed="false">
      <c r="A82" s="16" t="s">
        <v>320</v>
      </c>
      <c r="B82" s="7" t="s">
        <v>321</v>
      </c>
      <c r="C82" s="16" t="n">
        <v>5</v>
      </c>
      <c r="D82" s="10"/>
      <c r="E82" s="11" t="n">
        <v>46344</v>
      </c>
      <c r="F82" s="11" t="n">
        <v>46344</v>
      </c>
      <c r="G82" s="25"/>
      <c r="H82" s="25"/>
      <c r="I82" s="26"/>
      <c r="J82" s="7" t="s">
        <v>410</v>
      </c>
    </row>
    <row r="83" customFormat="false" ht="14.25" hidden="false" customHeight="true" outlineLevel="0" collapsed="false">
      <c r="A83" s="16" t="s">
        <v>323</v>
      </c>
      <c r="B83" s="7" t="s">
        <v>324</v>
      </c>
      <c r="C83" s="16" t="n">
        <v>3</v>
      </c>
      <c r="D83" s="10"/>
      <c r="E83" s="11" t="n">
        <v>46344</v>
      </c>
      <c r="F83" s="11" t="n">
        <v>46345</v>
      </c>
      <c r="G83" s="25"/>
      <c r="H83" s="25"/>
      <c r="I83" s="26"/>
      <c r="J83" s="7" t="s">
        <v>410</v>
      </c>
    </row>
    <row r="84" customFormat="false" ht="14.25" hidden="false" customHeight="true" outlineLevel="0" collapsed="false">
      <c r="A84" s="17"/>
      <c r="B84" s="18" t="s">
        <v>411</v>
      </c>
      <c r="C84" s="19" t="n">
        <f aca="false">SUM(C64:C83)</f>
        <v>78</v>
      </c>
      <c r="D84" s="17"/>
      <c r="E84" s="17"/>
      <c r="F84" s="17"/>
      <c r="G84" s="17"/>
      <c r="H84" s="17"/>
      <c r="I84" s="19" t="n">
        <f aca="false">SUM(I64:I83)</f>
        <v>0</v>
      </c>
      <c r="J84" s="17"/>
    </row>
    <row r="86" customFormat="false" ht="14.25" hidden="false" customHeight="true" outlineLevel="0" collapsed="false">
      <c r="B86" s="20" t="s">
        <v>412</v>
      </c>
      <c r="C86" s="27" t="n">
        <f aca="false">C7+C20+C32+C43+C53+C61+C84</f>
        <v>236</v>
      </c>
      <c r="I86" s="27" t="n">
        <f aca="false">I7+I20+I32+I43+I53+I61+I84</f>
        <v>67</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2026-09-30T16:13:22Z</dcterms:created>
  <dc:creator>openpyxl</dc:creator>
  <dc:description/>
  <dc:language>en-US</dc:language>
  <cp:lastModifiedBy>Hung Pham</cp:lastModifiedBy>
  <dcterms:modified xsi:type="dcterms:W3CDTF">2026-10-27T23:17:57Z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